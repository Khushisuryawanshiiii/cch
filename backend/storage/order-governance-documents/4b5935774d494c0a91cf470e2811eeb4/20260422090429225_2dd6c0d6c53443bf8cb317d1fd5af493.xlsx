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firstSheet="1" activeTab="1"/>
  </bookViews>
  <sheets>
    <sheet name="Sheet1" sheetId="1" state="hidden" r:id="rId1"/>
    <sheet name="Sheet4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<sst xmlns="http://schemas.openxmlformats.org/spreadsheetml/2006/main" count="258" uniqueCount="140">
  <si>
    <t>Account Name</t>
  </si>
  <si>
    <t>Opportunity Name</t>
  </si>
  <si>
    <t>Opportunity Number</t>
  </si>
  <si>
    <t>AM</t>
  </si>
  <si>
    <t>Geo</t>
  </si>
  <si>
    <t>Opportunity Owner</t>
  </si>
  <si>
    <t>Manager</t>
  </si>
  <si>
    <t>Type</t>
  </si>
  <si>
    <t>Amount</t>
  </si>
  <si>
    <t>Close Date</t>
  </si>
  <si>
    <t>Stage</t>
  </si>
  <si>
    <t>Created Date</t>
  </si>
  <si>
    <t>India Sales Region</t>
  </si>
  <si>
    <t>Blended Gross Margin (%)</t>
  </si>
  <si>
    <t>Contract Start Date</t>
  </si>
  <si>
    <t>Contract Expiration Date</t>
  </si>
  <si>
    <t>Contract Term (Months)</t>
  </si>
  <si>
    <t>Horizontal</t>
  </si>
  <si>
    <t>Delivery Type</t>
  </si>
  <si>
    <t>Process Owner(Sada)</t>
  </si>
  <si>
    <t>Filter</t>
  </si>
  <si>
    <t>actionable stake holder</t>
  </si>
  <si>
    <t>Sales</t>
  </si>
  <si>
    <t>Product Value</t>
  </si>
  <si>
    <t>Service VALUE</t>
  </si>
  <si>
    <t>AMC Value</t>
  </si>
  <si>
    <t>Others</t>
  </si>
  <si>
    <t>Total Bid Value</t>
  </si>
  <si>
    <t>Prodcut Cost</t>
  </si>
  <si>
    <t>External Service Cost</t>
  </si>
  <si>
    <t>Internal Cost</t>
  </si>
  <si>
    <t>Others Cost</t>
  </si>
  <si>
    <t>Total Cost</t>
  </si>
  <si>
    <t>Product margin</t>
  </si>
  <si>
    <t>Service Margin</t>
  </si>
  <si>
    <t>Customer Payment Term</t>
  </si>
  <si>
    <t>Vendor Payment term</t>
  </si>
  <si>
    <t>Comments</t>
  </si>
  <si>
    <t>Submit</t>
  </si>
  <si>
    <t>Finance</t>
  </si>
  <si>
    <t>Y</t>
  </si>
  <si>
    <t>Legal</t>
  </si>
  <si>
    <t>Business Head</t>
  </si>
  <si>
    <t>SCM</t>
  </si>
  <si>
    <t>Service Delivery</t>
  </si>
  <si>
    <t>Pre Sales</t>
  </si>
  <si>
    <t xml:space="preserve">Opportunity Number </t>
  </si>
  <si>
    <t>Account Owner</t>
  </si>
  <si>
    <t>AM name</t>
  </si>
  <si>
    <t>Secondary Segment</t>
  </si>
  <si>
    <t>Bill To Address (Country/Territory)</t>
  </si>
  <si>
    <t>Project Start Date</t>
  </si>
  <si>
    <t>Project Duration (Months)</t>
  </si>
  <si>
    <t>Opportunity Currency</t>
  </si>
  <si>
    <t>MEDICAL CENTER</t>
  </si>
  <si>
    <t>AMC Small Cell</t>
  </si>
  <si>
    <t>119291</t>
  </si>
  <si>
    <t>khushi</t>
  </si>
  <si>
    <t>In-Building 5G/OnGo</t>
  </si>
  <si>
    <t>Reeja</t>
  </si>
  <si>
    <t>3/17/2026</t>
  </si>
  <si>
    <t>Stage 1 Stimulated</t>
  </si>
  <si>
    <t>12/17/2019</t>
  </si>
  <si>
    <t/>
  </si>
  <si>
    <t>7/21/2021</t>
  </si>
  <si>
    <t>Networking</t>
  </si>
  <si>
    <t>11/15/2021</t>
  </si>
  <si>
    <t>USD</t>
  </si>
  <si>
    <t>Project</t>
  </si>
  <si>
    <t>NGH CORPORATION</t>
  </si>
  <si>
    <t>NGH  - CCaaS</t>
  </si>
  <si>
    <t>181966</t>
  </si>
  <si>
    <t>Akshara</t>
  </si>
  <si>
    <t>Customer Experience</t>
  </si>
  <si>
    <t>Sada</t>
  </si>
  <si>
    <t>Closed Won</t>
  </si>
  <si>
    <t>6/3/2022</t>
  </si>
  <si>
    <t>Top</t>
  </si>
  <si>
    <t>Workplace</t>
  </si>
  <si>
    <t>XYZ</t>
  </si>
  <si>
    <t>XYZServices Contract</t>
  </si>
  <si>
    <t>203435</t>
  </si>
  <si>
    <t>Sunil</t>
  </si>
  <si>
    <t>Audio-Visual</t>
  </si>
  <si>
    <t>5/2/2024</t>
  </si>
  <si>
    <t>India</t>
  </si>
  <si>
    <t>8/1/2024</t>
  </si>
  <si>
    <t>8/2/2027</t>
  </si>
  <si>
    <t>3/27/2026</t>
  </si>
  <si>
    <t>New Contract</t>
  </si>
  <si>
    <t>COMMONHEALTH</t>
  </si>
  <si>
    <t>Common Phase 8</t>
  </si>
  <si>
    <t>210014</t>
  </si>
  <si>
    <t>Connected Building</t>
  </si>
  <si>
    <t>Stage 3 Evaluate Options</t>
  </si>
  <si>
    <t>1/17/2025</t>
  </si>
  <si>
    <t>United States</t>
  </si>
  <si>
    <t>Connectivity Infrastructure</t>
  </si>
  <si>
    <t>10/31/2025</t>
  </si>
  <si>
    <t>Change Order</t>
  </si>
  <si>
    <t>Automation, Inc.</t>
  </si>
  <si>
    <t>CABLING-MX</t>
  </si>
  <si>
    <t>211491</t>
  </si>
  <si>
    <t>Anuj</t>
  </si>
  <si>
    <t>Stage 0 Not in Market</t>
  </si>
  <si>
    <t>3/18/2025</t>
  </si>
  <si>
    <t>Managed</t>
  </si>
  <si>
    <t>Mexico</t>
  </si>
  <si>
    <t>8/13/2025</t>
  </si>
  <si>
    <t>UHC HEALTH</t>
  </si>
  <si>
    <t>CO-7513</t>
  </si>
  <si>
    <t>213305</t>
  </si>
  <si>
    <t>Closed Lost</t>
  </si>
  <si>
    <t>6/6/2025</t>
  </si>
  <si>
    <t>Territory</t>
  </si>
  <si>
    <t xml:space="preserve">CO-7539 </t>
  </si>
  <si>
    <t>213306</t>
  </si>
  <si>
    <t>Mahesh</t>
  </si>
  <si>
    <t xml:space="preserve">CO-7455 </t>
  </si>
  <si>
    <t>213304</t>
  </si>
  <si>
    <t>Stage 2 Problem Definition</t>
  </si>
  <si>
    <t>UHCI Tunnel Antenna Add</t>
  </si>
  <si>
    <t>214438</t>
  </si>
  <si>
    <t>7/25/2025</t>
  </si>
  <si>
    <t>A Energy  Hydrocarbon</t>
  </si>
  <si>
    <t>Lan setup refresh for existing office space</t>
  </si>
  <si>
    <t>216389</t>
  </si>
  <si>
    <t>Enterprise Networking</t>
  </si>
  <si>
    <t>10/26/2025</t>
  </si>
  <si>
    <t>South</t>
  </si>
  <si>
    <t>INR</t>
  </si>
  <si>
    <t>ABCI MOTOR GROUP</t>
  </si>
  <si>
    <t>Renewal Hyundai Construction Equipment_Dia SC# 3/6/2026</t>
  </si>
  <si>
    <t>218148</t>
  </si>
  <si>
    <t>Maintenance Renewal</t>
  </si>
  <si>
    <t>10/28/2025</t>
  </si>
  <si>
    <t>3/7/2026</t>
  </si>
  <si>
    <t>3/6/2027</t>
  </si>
  <si>
    <t>Platforms</t>
  </si>
  <si>
    <t>Renewal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</si>
</sst>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USD&quot;\ #,##0.00;&quot;USD&quot;\ \-#,##0.00"/>
    <numFmt numFmtId="181" formatCode="&quot;INR&quot;\ #,##0.00;&quot;INR&quot;\ \-#,##0.00"/>
    <numFmt numFmtId="182" formatCode="#,##0.000%"/>
  </numFmts>
  <fonts count="25">
    <font>
      <sz val="11"/>
      <color theme="1"/>
      <name val="Aptos Narrow"/>
      <charset val="134"/>
      <scheme val="minor"/>
    </font>
    <font>
      <b/>
      <sz val="12"/>
      <color rgb="FF56585B"/>
      <name val="Calibri"/>
      <charset val="134"/>
    </font>
    <font>
      <sz val="12"/>
      <color rgb="FF000000"/>
      <name val="Calibri"/>
      <charset val="134"/>
    </font>
    <font>
      <sz val="11"/>
      <color theme="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indexed="8"/>
      <name val="Aptos Narrow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4" fillId="0" borderId="0"/>
  </cellStyleXfs>
  <cellXfs count="29">
    <xf numFmtId="0" fontId="0" fillId="0" borderId="0" xfId="0"/>
    <xf numFmtId="0" fontId="1" fillId="2" borderId="1" xfId="49" applyFont="1" applyFill="1" applyBorder="1"/>
    <xf numFmtId="0" fontId="1" fillId="3" borderId="1" xfId="49" applyFont="1" applyFill="1" applyBorder="1"/>
    <xf numFmtId="0" fontId="1" fillId="2" borderId="2" xfId="49" applyFont="1" applyFill="1" applyBorder="1"/>
    <xf numFmtId="0" fontId="1" fillId="3" borderId="2" xfId="49" applyFont="1" applyFill="1" applyBorder="1"/>
    <xf numFmtId="0" fontId="2" fillId="2" borderId="2" xfId="49" applyFont="1" applyFill="1" applyBorder="1" applyAlignment="1">
      <alignment horizontal="left"/>
    </xf>
    <xf numFmtId="0" fontId="2" fillId="4" borderId="2" xfId="49" applyFont="1" applyFill="1" applyBorder="1" applyAlignment="1">
      <alignment horizontal="left"/>
    </xf>
    <xf numFmtId="180" fontId="2" fillId="3" borderId="2" xfId="49" applyNumberFormat="1" applyFont="1" applyFill="1" applyBorder="1" applyAlignment="1">
      <alignment horizontal="right"/>
    </xf>
    <xf numFmtId="0" fontId="2" fillId="5" borderId="2" xfId="49" applyFont="1" applyFill="1" applyBorder="1" applyAlignment="1">
      <alignment horizontal="left"/>
    </xf>
    <xf numFmtId="180" fontId="2" fillId="4" borderId="2" xfId="49" applyNumberFormat="1" applyFont="1" applyFill="1" applyBorder="1" applyAlignment="1">
      <alignment horizontal="right"/>
    </xf>
    <xf numFmtId="180" fontId="2" fillId="5" borderId="2" xfId="49" applyNumberFormat="1" applyFont="1" applyFill="1" applyBorder="1" applyAlignment="1">
      <alignment horizontal="right"/>
    </xf>
    <xf numFmtId="180" fontId="2" fillId="6" borderId="2" xfId="49" applyNumberFormat="1" applyFont="1" applyFill="1" applyBorder="1" applyAlignment="1">
      <alignment horizontal="right"/>
    </xf>
    <xf numFmtId="0" fontId="2" fillId="0" borderId="2" xfId="49" applyFont="1" applyFill="1" applyBorder="1" applyAlignment="1">
      <alignment horizontal="left"/>
    </xf>
    <xf numFmtId="181" fontId="2" fillId="5" borderId="2" xfId="49" applyNumberFormat="1" applyFont="1" applyFill="1" applyBorder="1" applyAlignment="1">
      <alignment horizontal="right"/>
    </xf>
    <xf numFmtId="0" fontId="2" fillId="3" borderId="2" xfId="49" applyFont="1" applyFill="1" applyBorder="1" applyAlignment="1">
      <alignment horizontal="left"/>
    </xf>
    <xf numFmtId="182" fontId="2" fillId="2" borderId="2" xfId="49" applyNumberFormat="1" applyFont="1" applyFill="1" applyBorder="1" applyAlignment="1">
      <alignment horizontal="right"/>
    </xf>
    <xf numFmtId="0" fontId="2" fillId="2" borderId="2" xfId="49" applyFont="1" applyFill="1" applyBorder="1" applyAlignment="1">
      <alignment horizontal="center"/>
    </xf>
    <xf numFmtId="182" fontId="2" fillId="5" borderId="2" xfId="49" applyNumberFormat="1" applyFont="1" applyFill="1" applyBorder="1" applyAlignment="1">
      <alignment horizontal="right"/>
    </xf>
    <xf numFmtId="0" fontId="2" fillId="5" borderId="2" xfId="49" applyFont="1" applyFill="1" applyBorder="1" applyAlignment="1">
      <alignment horizontal="center"/>
    </xf>
    <xf numFmtId="0" fontId="2" fillId="2" borderId="2" xfId="49" applyFont="1" applyFill="1" applyBorder="1" applyAlignment="1">
      <alignment horizontal="right"/>
    </xf>
    <xf numFmtId="0" fontId="2" fillId="5" borderId="2" xfId="49" applyFont="1" applyFill="1" applyBorder="1" applyAlignment="1">
      <alignment horizontal="right"/>
    </xf>
    <xf numFmtId="0" fontId="0" fillId="7" borderId="2" xfId="0" applyFill="1" applyBorder="1"/>
    <xf numFmtId="0" fontId="0" fillId="8" borderId="0" xfId="0" applyFill="1"/>
    <xf numFmtId="0" fontId="0" fillId="6" borderId="0" xfId="0" applyFill="1" applyAlignment="1">
      <alignment wrapText="1"/>
    </xf>
    <xf numFmtId="0" fontId="0" fillId="0" borderId="0" xfId="0" applyAlignment="1">
      <alignment wrapText="1"/>
    </xf>
    <xf numFmtId="0" fontId="0" fillId="9" borderId="0" xfId="0" applyFill="1" applyAlignment="1">
      <alignment wrapText="1"/>
    </xf>
    <xf numFmtId="0" fontId="3" fillId="0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4" fillId="0" borderId="0" xfId="0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8"/>
  <sheetViews>
    <sheetView topLeftCell="Z1" workbookViewId="0">
      <selection activeCell="T1" sqref="T1:AR8"/>
    </sheetView>
  </sheetViews>
  <sheetFormatPr defaultColWidth="9" defaultRowHeight="13.8" outlineLevelRow="7"/>
  <cols>
    <col min="19" max="19" width="15.75" customWidth="1"/>
    <col min="20" max="20" width="21.75" customWidth="1"/>
    <col min="21" max="21" width="16" customWidth="1"/>
    <col min="22" max="22" width="22.75" customWidth="1"/>
    <col min="41" max="41" width="22.4166666666667" customWidth="1"/>
  </cols>
  <sheetData>
    <row r="1" spans="1:2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t="s">
        <v>19</v>
      </c>
      <c r="U1" t="s">
        <v>20</v>
      </c>
      <c r="V1" t="s">
        <v>21</v>
      </c>
    </row>
    <row r="2" ht="41.4" spans="1:4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U2" s="22" t="s">
        <v>22</v>
      </c>
      <c r="W2" s="23" t="s">
        <v>23</v>
      </c>
      <c r="X2" s="23" t="s">
        <v>24</v>
      </c>
      <c r="Y2" s="23" t="s">
        <v>25</v>
      </c>
      <c r="Z2" s="23" t="s">
        <v>26</v>
      </c>
      <c r="AA2" s="23" t="s">
        <v>27</v>
      </c>
      <c r="AB2" s="24"/>
      <c r="AC2" s="25" t="s">
        <v>28</v>
      </c>
      <c r="AD2" s="25" t="s">
        <v>29</v>
      </c>
      <c r="AE2" s="25" t="s">
        <v>30</v>
      </c>
      <c r="AF2" s="25" t="s">
        <v>31</v>
      </c>
      <c r="AG2" s="25" t="s">
        <v>32</v>
      </c>
      <c r="AI2" s="25" t="s">
        <v>33</v>
      </c>
      <c r="AJ2" s="25" t="s">
        <v>34</v>
      </c>
      <c r="AL2" s="25" t="s">
        <v>35</v>
      </c>
      <c r="AM2" s="25" t="s">
        <v>36</v>
      </c>
      <c r="AN2" s="26"/>
      <c r="AO2" s="27" t="s">
        <v>37</v>
      </c>
      <c r="AQ2" s="28" t="s">
        <v>38</v>
      </c>
    </row>
    <row r="3" spans="1:4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U3" s="22" t="s">
        <v>39</v>
      </c>
      <c r="AI3">
        <f>W3-AC3</f>
        <v>0</v>
      </c>
      <c r="AJ3">
        <f>SUM(X3:Z3)-SUM(AD3:AF3)</f>
        <v>0</v>
      </c>
      <c r="AQ3" t="s">
        <v>40</v>
      </c>
    </row>
    <row r="4" spans="21:21">
      <c r="U4" s="22" t="s">
        <v>41</v>
      </c>
    </row>
    <row r="5" spans="21:21">
      <c r="U5" s="22" t="s">
        <v>42</v>
      </c>
    </row>
    <row r="6" spans="21:21">
      <c r="U6" s="22" t="s">
        <v>43</v>
      </c>
    </row>
    <row r="7" spans="21:21">
      <c r="U7" s="22" t="s">
        <v>44</v>
      </c>
    </row>
    <row r="8" spans="21:21">
      <c r="U8" s="22" t="s">
        <v>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tabSelected="1" workbookViewId="0">
      <selection activeCell="D2" sqref="D2"/>
    </sheetView>
  </sheetViews>
  <sheetFormatPr defaultColWidth="9" defaultRowHeight="13.8"/>
  <cols>
    <col min="1" max="1" width="21.8" customWidth="1"/>
    <col min="2" max="2" width="53.9" customWidth="1"/>
    <col min="3" max="3" width="20.75" customWidth="1"/>
    <col min="4" max="4" width="28.8333333333333" customWidth="1"/>
    <col min="5" max="5" width="21.4166666666667" customWidth="1"/>
    <col min="6" max="6" width="26.75" customWidth="1"/>
    <col min="7" max="7" width="16.4166666666667" customWidth="1"/>
    <col min="8" max="8" width="22.75" customWidth="1"/>
    <col min="9" max="9" width="30" customWidth="1"/>
    <col min="10" max="10" width="15.8333333333333" customWidth="1"/>
    <col min="11" max="11" width="24" customWidth="1"/>
    <col min="12" max="12" width="16.4166666666667" customWidth="1"/>
    <col min="13" max="13" width="16.1" customWidth="1"/>
    <col min="14" max="14" width="20.0833333333333" customWidth="1"/>
    <col min="15" max="15" width="11.1666666666667" customWidth="1"/>
    <col min="16" max="16" width="21.1" customWidth="1"/>
    <col min="17" max="17" width="12.5" customWidth="1"/>
    <col min="18" max="18" width="12.3333333333333" customWidth="1"/>
    <col min="20" max="20" width="9.91666666666667" customWidth="1"/>
    <col min="21" max="21" width="19.75" customWidth="1"/>
    <col min="22" max="22" width="15.8333333333333" customWidth="1"/>
  </cols>
  <sheetData>
    <row r="1" ht="15.6" spans="1:22">
      <c r="A1" s="3" t="s">
        <v>0</v>
      </c>
      <c r="B1" s="3" t="s">
        <v>1</v>
      </c>
      <c r="C1" s="3" t="s">
        <v>46</v>
      </c>
      <c r="D1" s="3" t="s">
        <v>47</v>
      </c>
      <c r="E1" s="3" t="s">
        <v>7</v>
      </c>
      <c r="F1" s="3" t="s">
        <v>48</v>
      </c>
      <c r="G1" s="4" t="s">
        <v>8</v>
      </c>
      <c r="H1" s="3" t="s">
        <v>9</v>
      </c>
      <c r="I1" s="4" t="s">
        <v>10</v>
      </c>
      <c r="J1" s="3" t="s">
        <v>11</v>
      </c>
      <c r="K1" s="3" t="s">
        <v>49</v>
      </c>
      <c r="L1" s="3" t="s">
        <v>50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51</v>
      </c>
      <c r="T1" s="3" t="s">
        <v>52</v>
      </c>
      <c r="U1" s="3" t="s">
        <v>53</v>
      </c>
      <c r="V1" s="3" t="s">
        <v>18</v>
      </c>
    </row>
    <row r="2" ht="15.6" spans="1:22">
      <c r="A2" s="5" t="s">
        <v>54</v>
      </c>
      <c r="B2" s="5" t="s">
        <v>55</v>
      </c>
      <c r="C2" s="6" t="s">
        <v>56</v>
      </c>
      <c r="D2" s="5" t="s">
        <v>57</v>
      </c>
      <c r="E2" s="5" t="s">
        <v>58</v>
      </c>
      <c r="F2" s="5" t="s">
        <v>59</v>
      </c>
      <c r="G2" s="7">
        <v>5000</v>
      </c>
      <c r="H2" s="5" t="s">
        <v>60</v>
      </c>
      <c r="I2" s="14" t="s">
        <v>61</v>
      </c>
      <c r="J2" s="5" t="s">
        <v>62</v>
      </c>
      <c r="K2" s="5" t="s">
        <v>63</v>
      </c>
      <c r="L2" s="5" t="s">
        <v>63</v>
      </c>
      <c r="M2" s="5" t="s">
        <v>63</v>
      </c>
      <c r="N2" s="15">
        <v>0.35166</v>
      </c>
      <c r="O2" s="5" t="s">
        <v>64</v>
      </c>
      <c r="P2" s="16"/>
      <c r="Q2" s="16"/>
      <c r="R2" s="5" t="s">
        <v>65</v>
      </c>
      <c r="S2" s="5" t="s">
        <v>66</v>
      </c>
      <c r="T2" s="19">
        <v>1</v>
      </c>
      <c r="U2" s="5" t="s">
        <v>67</v>
      </c>
      <c r="V2" s="5" t="s">
        <v>68</v>
      </c>
    </row>
    <row r="3" ht="15.6" spans="1:22">
      <c r="A3" s="5" t="s">
        <v>69</v>
      </c>
      <c r="B3" s="5" t="s">
        <v>70</v>
      </c>
      <c r="C3" s="6" t="s">
        <v>71</v>
      </c>
      <c r="D3" s="5" t="s">
        <v>72</v>
      </c>
      <c r="E3" s="5" t="s">
        <v>73</v>
      </c>
      <c r="F3" s="5" t="s">
        <v>74</v>
      </c>
      <c r="G3" s="7">
        <v>7000</v>
      </c>
      <c r="H3" s="5" t="s">
        <v>60</v>
      </c>
      <c r="I3" s="14" t="s">
        <v>75</v>
      </c>
      <c r="J3" s="5" t="s">
        <v>76</v>
      </c>
      <c r="K3" s="5" t="s">
        <v>77</v>
      </c>
      <c r="L3" s="5" t="s">
        <v>63</v>
      </c>
      <c r="M3" s="5" t="s">
        <v>63</v>
      </c>
      <c r="N3" s="15">
        <v>1</v>
      </c>
      <c r="O3" s="16"/>
      <c r="P3" s="16"/>
      <c r="Q3" s="16"/>
      <c r="R3" s="5" t="s">
        <v>78</v>
      </c>
      <c r="S3" s="16"/>
      <c r="T3" s="16"/>
      <c r="U3" s="5" t="s">
        <v>67</v>
      </c>
      <c r="V3" s="5" t="s">
        <v>68</v>
      </c>
    </row>
    <row r="4" ht="15.6" spans="1:22">
      <c r="A4" s="5" t="s">
        <v>79</v>
      </c>
      <c r="B4" s="5" t="s">
        <v>80</v>
      </c>
      <c r="C4" s="6" t="s">
        <v>81</v>
      </c>
      <c r="D4" s="5" t="s">
        <v>82</v>
      </c>
      <c r="E4" s="5" t="s">
        <v>83</v>
      </c>
      <c r="F4" s="5"/>
      <c r="G4" s="7">
        <v>7615.99</v>
      </c>
      <c r="H4" s="5" t="s">
        <v>60</v>
      </c>
      <c r="I4" s="14" t="s">
        <v>75</v>
      </c>
      <c r="J4" s="5" t="s">
        <v>84</v>
      </c>
      <c r="K4" s="5" t="s">
        <v>77</v>
      </c>
      <c r="L4" s="5" t="s">
        <v>85</v>
      </c>
      <c r="M4" s="5" t="s">
        <v>63</v>
      </c>
      <c r="N4" s="15">
        <v>0.24928</v>
      </c>
      <c r="O4" s="5" t="s">
        <v>86</v>
      </c>
      <c r="P4" s="5" t="s">
        <v>87</v>
      </c>
      <c r="Q4" s="19">
        <v>36</v>
      </c>
      <c r="R4" s="5" t="s">
        <v>78</v>
      </c>
      <c r="S4" s="5" t="s">
        <v>88</v>
      </c>
      <c r="T4" s="19">
        <v>36</v>
      </c>
      <c r="U4" s="5" t="s">
        <v>67</v>
      </c>
      <c r="V4" s="5" t="s">
        <v>89</v>
      </c>
    </row>
    <row r="5" ht="15.6" spans="1:22">
      <c r="A5" s="8" t="s">
        <v>90</v>
      </c>
      <c r="B5" s="8" t="s">
        <v>91</v>
      </c>
      <c r="C5" s="6" t="s">
        <v>92</v>
      </c>
      <c r="D5" s="8" t="s">
        <v>72</v>
      </c>
      <c r="E5" s="8" t="s">
        <v>93</v>
      </c>
      <c r="F5" s="8"/>
      <c r="G5" s="9">
        <v>8422</v>
      </c>
      <c r="H5" s="8" t="s">
        <v>60</v>
      </c>
      <c r="I5" s="8" t="s">
        <v>94</v>
      </c>
      <c r="J5" s="8" t="s">
        <v>95</v>
      </c>
      <c r="K5" s="8" t="s">
        <v>77</v>
      </c>
      <c r="L5" s="8" t="s">
        <v>96</v>
      </c>
      <c r="M5" s="8" t="s">
        <v>63</v>
      </c>
      <c r="N5" s="17">
        <v>0.35711</v>
      </c>
      <c r="O5" s="18"/>
      <c r="P5" s="18"/>
      <c r="Q5" s="18"/>
      <c r="R5" s="8" t="s">
        <v>97</v>
      </c>
      <c r="S5" s="8" t="s">
        <v>98</v>
      </c>
      <c r="T5" s="20">
        <v>3</v>
      </c>
      <c r="U5" s="8" t="s">
        <v>67</v>
      </c>
      <c r="V5" s="8" t="s">
        <v>99</v>
      </c>
    </row>
    <row r="6" ht="15.6" spans="1:22">
      <c r="A6" s="8" t="s">
        <v>100</v>
      </c>
      <c r="B6" s="8" t="s">
        <v>101</v>
      </c>
      <c r="C6" s="6" t="s">
        <v>102</v>
      </c>
      <c r="D6" s="8" t="s">
        <v>103</v>
      </c>
      <c r="E6" s="8" t="s">
        <v>93</v>
      </c>
      <c r="F6" s="8"/>
      <c r="G6" s="9">
        <v>172600.52</v>
      </c>
      <c r="H6" s="8" t="s">
        <v>60</v>
      </c>
      <c r="I6" s="8" t="s">
        <v>104</v>
      </c>
      <c r="J6" s="8" t="s">
        <v>105</v>
      </c>
      <c r="K6" s="8" t="s">
        <v>106</v>
      </c>
      <c r="L6" s="8" t="s">
        <v>107</v>
      </c>
      <c r="M6" s="8" t="s">
        <v>63</v>
      </c>
      <c r="N6" s="17">
        <v>0.31829</v>
      </c>
      <c r="O6" s="18"/>
      <c r="P6" s="18"/>
      <c r="Q6" s="18"/>
      <c r="R6" s="8" t="s">
        <v>97</v>
      </c>
      <c r="S6" s="8" t="s">
        <v>108</v>
      </c>
      <c r="T6" s="20">
        <v>1</v>
      </c>
      <c r="U6" s="8" t="s">
        <v>67</v>
      </c>
      <c r="V6" s="8" t="s">
        <v>68</v>
      </c>
    </row>
    <row r="7" ht="15.6" spans="1:22">
      <c r="A7" s="8" t="s">
        <v>109</v>
      </c>
      <c r="B7" s="8" t="s">
        <v>110</v>
      </c>
      <c r="C7" s="6" t="s">
        <v>111</v>
      </c>
      <c r="D7" s="8" t="s">
        <v>72</v>
      </c>
      <c r="E7" s="8" t="s">
        <v>58</v>
      </c>
      <c r="F7" s="8"/>
      <c r="G7" s="9">
        <v>250882.88</v>
      </c>
      <c r="H7" s="8" t="s">
        <v>60</v>
      </c>
      <c r="I7" s="14" t="s">
        <v>112</v>
      </c>
      <c r="J7" s="8" t="s">
        <v>113</v>
      </c>
      <c r="K7" s="8" t="s">
        <v>114</v>
      </c>
      <c r="L7" s="8" t="s">
        <v>63</v>
      </c>
      <c r="M7" s="8" t="s">
        <v>63</v>
      </c>
      <c r="N7" s="17">
        <v>0.1309</v>
      </c>
      <c r="O7" s="18"/>
      <c r="P7" s="18"/>
      <c r="Q7" s="18"/>
      <c r="R7" s="8" t="s">
        <v>65</v>
      </c>
      <c r="S7" s="18"/>
      <c r="T7" s="18"/>
      <c r="U7" s="8" t="s">
        <v>67</v>
      </c>
      <c r="V7" s="8" t="s">
        <v>99</v>
      </c>
    </row>
    <row r="8" ht="15.6" spans="1:22">
      <c r="A8" s="8" t="s">
        <v>109</v>
      </c>
      <c r="B8" s="8" t="s">
        <v>115</v>
      </c>
      <c r="C8" s="8" t="s">
        <v>116</v>
      </c>
      <c r="D8" s="8" t="s">
        <v>72</v>
      </c>
      <c r="E8" s="8" t="s">
        <v>58</v>
      </c>
      <c r="F8" s="8" t="s">
        <v>117</v>
      </c>
      <c r="G8" s="10">
        <v>237503.06</v>
      </c>
      <c r="H8" s="8" t="s">
        <v>60</v>
      </c>
      <c r="I8" s="8" t="s">
        <v>61</v>
      </c>
      <c r="J8" s="8" t="s">
        <v>113</v>
      </c>
      <c r="K8" s="8" t="s">
        <v>114</v>
      </c>
      <c r="L8" s="8" t="s">
        <v>63</v>
      </c>
      <c r="M8" s="8" t="s">
        <v>63</v>
      </c>
      <c r="N8" s="17">
        <v>0.13086</v>
      </c>
      <c r="O8" s="18"/>
      <c r="P8" s="18"/>
      <c r="Q8" s="18"/>
      <c r="R8" s="8" t="s">
        <v>65</v>
      </c>
      <c r="S8" s="18"/>
      <c r="T8" s="18"/>
      <c r="U8" s="8" t="s">
        <v>67</v>
      </c>
      <c r="V8" s="8" t="s">
        <v>99</v>
      </c>
    </row>
    <row r="9" ht="15.6" spans="1:22">
      <c r="A9" s="8" t="s">
        <v>109</v>
      </c>
      <c r="B9" s="8" t="s">
        <v>118</v>
      </c>
      <c r="C9" s="8" t="s">
        <v>119</v>
      </c>
      <c r="D9" s="8" t="s">
        <v>72</v>
      </c>
      <c r="E9" s="8" t="s">
        <v>58</v>
      </c>
      <c r="F9" s="8"/>
      <c r="G9" s="10">
        <v>188876.24</v>
      </c>
      <c r="H9" s="8" t="s">
        <v>60</v>
      </c>
      <c r="I9" s="12" t="s">
        <v>120</v>
      </c>
      <c r="J9" s="8" t="s">
        <v>113</v>
      </c>
      <c r="K9" s="8" t="s">
        <v>114</v>
      </c>
      <c r="L9" s="8" t="s">
        <v>63</v>
      </c>
      <c r="M9" s="8" t="s">
        <v>63</v>
      </c>
      <c r="N9" s="17">
        <v>0.13091</v>
      </c>
      <c r="O9" s="18"/>
      <c r="P9" s="18"/>
      <c r="Q9" s="18"/>
      <c r="R9" s="8" t="s">
        <v>65</v>
      </c>
      <c r="S9" s="18"/>
      <c r="T9" s="18"/>
      <c r="U9" s="8" t="s">
        <v>67</v>
      </c>
      <c r="V9" s="8" t="s">
        <v>99</v>
      </c>
    </row>
    <row r="10" ht="15.6" spans="1:22">
      <c r="A10" s="8" t="s">
        <v>109</v>
      </c>
      <c r="B10" s="8" t="s">
        <v>121</v>
      </c>
      <c r="C10" s="8" t="s">
        <v>122</v>
      </c>
      <c r="D10" s="8" t="s">
        <v>72</v>
      </c>
      <c r="E10" s="8" t="s">
        <v>58</v>
      </c>
      <c r="F10" s="8"/>
      <c r="G10" s="11">
        <v>50000</v>
      </c>
      <c r="H10" s="8" t="s">
        <v>60</v>
      </c>
      <c r="I10" s="8" t="s">
        <v>61</v>
      </c>
      <c r="J10" s="8" t="s">
        <v>123</v>
      </c>
      <c r="K10" s="8" t="s">
        <v>114</v>
      </c>
      <c r="L10" s="8" t="s">
        <v>63</v>
      </c>
      <c r="M10" s="8" t="s">
        <v>63</v>
      </c>
      <c r="N10" s="18"/>
      <c r="O10" s="18"/>
      <c r="P10" s="18"/>
      <c r="Q10" s="18"/>
      <c r="R10" s="8" t="s">
        <v>65</v>
      </c>
      <c r="S10" s="18"/>
      <c r="T10" s="18"/>
      <c r="U10" s="8" t="s">
        <v>67</v>
      </c>
      <c r="V10" s="8" t="s">
        <v>99</v>
      </c>
    </row>
    <row r="11" ht="15.6" spans="1:22">
      <c r="A11" s="8" t="s">
        <v>124</v>
      </c>
      <c r="B11" s="8" t="s">
        <v>125</v>
      </c>
      <c r="C11" s="8" t="s">
        <v>126</v>
      </c>
      <c r="D11" s="12" t="s">
        <v>117</v>
      </c>
      <c r="E11" s="8" t="s">
        <v>127</v>
      </c>
      <c r="F11" s="8"/>
      <c r="G11" s="13">
        <v>2200000</v>
      </c>
      <c r="H11" s="8" t="s">
        <v>60</v>
      </c>
      <c r="I11" s="8" t="s">
        <v>94</v>
      </c>
      <c r="J11" s="8" t="s">
        <v>128</v>
      </c>
      <c r="K11" s="8" t="s">
        <v>63</v>
      </c>
      <c r="L11" s="8" t="s">
        <v>63</v>
      </c>
      <c r="M11" s="8" t="s">
        <v>129</v>
      </c>
      <c r="N11" s="17">
        <v>0.18182</v>
      </c>
      <c r="O11" s="18"/>
      <c r="P11" s="18"/>
      <c r="Q11" s="18"/>
      <c r="R11" s="8" t="s">
        <v>65</v>
      </c>
      <c r="S11" s="18"/>
      <c r="T11" s="18"/>
      <c r="U11" s="8" t="s">
        <v>130</v>
      </c>
      <c r="V11" s="8" t="s">
        <v>89</v>
      </c>
    </row>
    <row r="12" ht="15.6" spans="1:22">
      <c r="A12" s="8" t="s">
        <v>131</v>
      </c>
      <c r="B12" s="8" t="s">
        <v>132</v>
      </c>
      <c r="C12" s="8" t="s">
        <v>133</v>
      </c>
      <c r="D12" s="8" t="s">
        <v>117</v>
      </c>
      <c r="E12" s="8" t="s">
        <v>134</v>
      </c>
      <c r="F12" s="8"/>
      <c r="G12" s="10">
        <v>122246.4</v>
      </c>
      <c r="H12" s="8" t="s">
        <v>60</v>
      </c>
      <c r="I12" s="8" t="s">
        <v>120</v>
      </c>
      <c r="J12" s="8" t="s">
        <v>135</v>
      </c>
      <c r="K12" s="8" t="s">
        <v>114</v>
      </c>
      <c r="L12" s="8" t="s">
        <v>63</v>
      </c>
      <c r="M12" s="8" t="s">
        <v>63</v>
      </c>
      <c r="N12" s="17">
        <v>0.18</v>
      </c>
      <c r="O12" s="8" t="s">
        <v>136</v>
      </c>
      <c r="P12" s="8" t="s">
        <v>137</v>
      </c>
      <c r="Q12" s="20">
        <v>12</v>
      </c>
      <c r="R12" s="8" t="s">
        <v>138</v>
      </c>
      <c r="S12" s="18"/>
      <c r="T12" s="18"/>
      <c r="U12" s="8" t="s">
        <v>67</v>
      </c>
      <c r="V12" s="8" t="s">
        <v>139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A25" sqref="A25"/>
    </sheetView>
  </sheetViews>
  <sheetFormatPr defaultColWidth="9" defaultRowHeight="13.8"/>
  <cols>
    <col min="1" max="1" width="30" customWidth="1"/>
  </cols>
  <sheetData>
    <row r="1" spans="1:1">
      <c r="A1" s="1" t="s">
        <v>0</v>
      </c>
    </row>
    <row r="2" spans="1:1">
      <c r="A2" s="1"/>
    </row>
    <row r="3" ht="15.6" spans="1:1">
      <c r="A3" s="1" t="s">
        <v>1</v>
      </c>
    </row>
    <row r="4" ht="15.6" spans="1:1">
      <c r="A4" s="1" t="s">
        <v>2</v>
      </c>
    </row>
    <row r="5" ht="15.6" spans="1:1">
      <c r="A5" s="1" t="s">
        <v>47</v>
      </c>
    </row>
    <row r="6" ht="15.6" spans="1:1">
      <c r="A6" s="1" t="s">
        <v>7</v>
      </c>
    </row>
    <row r="7" ht="15.6" spans="1:1">
      <c r="A7" s="2" t="s">
        <v>8</v>
      </c>
    </row>
    <row r="8" ht="15.6" spans="1:1">
      <c r="A8" s="1" t="s">
        <v>9</v>
      </c>
    </row>
    <row r="9" ht="15.6" spans="1:1">
      <c r="A9" s="2" t="s">
        <v>10</v>
      </c>
    </row>
    <row r="10" ht="15.6" spans="1:1">
      <c r="A10" s="1" t="s">
        <v>11</v>
      </c>
    </row>
    <row r="11" ht="15.6" spans="1:1">
      <c r="A11" s="1" t="s">
        <v>49</v>
      </c>
    </row>
    <row r="12" ht="15.6" spans="1:1">
      <c r="A12" s="1" t="s">
        <v>50</v>
      </c>
    </row>
    <row r="13" ht="15.6" spans="1:1">
      <c r="A13" s="1" t="s">
        <v>12</v>
      </c>
    </row>
    <row r="14" ht="15.6" spans="1:1">
      <c r="A14" s="1" t="s">
        <v>13</v>
      </c>
    </row>
    <row r="15" ht="15.6" spans="1:1">
      <c r="A15" s="1" t="s">
        <v>14</v>
      </c>
    </row>
    <row r="16" ht="15.6" spans="1:1">
      <c r="A16" s="1" t="s">
        <v>15</v>
      </c>
    </row>
    <row r="17" ht="15.6" spans="1:1">
      <c r="A17" s="1" t="s">
        <v>16</v>
      </c>
    </row>
    <row r="18" ht="15.6" spans="1:1">
      <c r="A18" s="1" t="s">
        <v>17</v>
      </c>
    </row>
    <row r="19" ht="15.6" spans="1:1">
      <c r="A19" s="1" t="s">
        <v>51</v>
      </c>
    </row>
    <row r="20" ht="15.6" spans="1:1">
      <c r="A20" s="1" t="s">
        <v>52</v>
      </c>
    </row>
    <row r="21" ht="15.6" spans="1:1">
      <c r="A21" s="1" t="s">
        <v>53</v>
      </c>
    </row>
    <row r="22" ht="15.6" spans="1:1">
      <c r="A22" s="1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</sheetData>
  <mergeCells count="1">
    <mergeCell ref="A1:A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Black Box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Reeja Sujoy</dc:creator>
  <cp:lastModifiedBy>Veena</cp:lastModifiedBy>
  <dcterms:created xsi:type="dcterms:W3CDTF">2026-03-17T10:04:00Z</dcterms:created>
  <dcterms:modified xsi:type="dcterms:W3CDTF">2026-04-20T06:11:50Z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B560A91E560F4AE1813D74B32BAD1EB7_13</vt:lpwstr>
  </property>
  <property fmtid="{D5CDD505-2E9C-101B-9397-08002B2CF9AE}" pid="3" name="KSOProductBuildVer">
    <vt:lpwstr>1033-12.2.0.23155</vt:lpwstr>
  </property>
</Properties>
</file>