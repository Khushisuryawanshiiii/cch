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  <sheet name="module" sheetId="3" r:id="rId3"/>
    <sheet name="role " sheetId="4" r:id="rId4"/>
    <sheet name="users" sheetId="5" r:id="rId5"/>
    <sheet name="Sheet6" sheetId="6" r:id="rId6"/>
    <sheet name="dwas" sheetId="7" r:id="rId7"/>
    <sheet name="Sheet8" sheetId="8" r:id="rId8"/>
    <sheet name="Sheet3" sheetId="9" r:id="rId9"/>
    <sheet name="Sheet4" sheetId="10" r:id="rId10"/>
  </sheets>
  <definedNames>
    <definedName name="_xlnm._FilterDatabase" localSheetId="0" hidden="1">Sheet1!$A$1:$Q$567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<sst xmlns="http://schemas.openxmlformats.org/spreadsheetml/2006/main" count="7702" uniqueCount="1412">
  <si>
    <t>Region</t>
  </si>
  <si>
    <t>Sub Region</t>
  </si>
  <si>
    <t>SFDC Opportunity No</t>
  </si>
  <si>
    <t>Opportunity Owner</t>
  </si>
  <si>
    <t>RM</t>
  </si>
  <si>
    <t>Account Name</t>
  </si>
  <si>
    <t>Opportunity Name</t>
  </si>
  <si>
    <t>Stage</t>
  </si>
  <si>
    <t>Forecase Category</t>
  </si>
  <si>
    <t>Delivery Type</t>
  </si>
  <si>
    <t>Amount</t>
  </si>
  <si>
    <t>Currency</t>
  </si>
  <si>
    <t>Value in INR</t>
  </si>
  <si>
    <t>Margin</t>
  </si>
  <si>
    <t>Close Date</t>
  </si>
  <si>
    <t>Created Date</t>
  </si>
  <si>
    <t>Horizontal</t>
  </si>
  <si>
    <t>India</t>
  </si>
  <si>
    <t>South-KAPT</t>
  </si>
  <si>
    <t>Nikhil VM</t>
  </si>
  <si>
    <t>Abhinav Sharma</t>
  </si>
  <si>
    <t>Microland</t>
  </si>
  <si>
    <t>Microland - AVAYA</t>
  </si>
  <si>
    <t>Closed Won</t>
  </si>
  <si>
    <t>Closed</t>
  </si>
  <si>
    <t>Project</t>
  </si>
  <si>
    <t>INR</t>
  </si>
  <si>
    <t>01/04/2026</t>
  </si>
  <si>
    <t>07/07/2025</t>
  </si>
  <si>
    <t>Workplace</t>
  </si>
  <si>
    <t>Flipkart Internet Pvt. Ltd</t>
  </si>
  <si>
    <t>Flipkart-  Runrate</t>
  </si>
  <si>
    <t>20/12/2025</t>
  </si>
  <si>
    <t>Networking</t>
  </si>
  <si>
    <t>North</t>
  </si>
  <si>
    <t>Payal Narang</t>
  </si>
  <si>
    <t>Shakul Agarwal</t>
  </si>
  <si>
    <t>SMS Group</t>
  </si>
  <si>
    <t>SMS- Fortinet req</t>
  </si>
  <si>
    <t>18/03/2026</t>
  </si>
  <si>
    <t>South-TNK</t>
  </si>
  <si>
    <t>Jerry Joe</t>
  </si>
  <si>
    <t>Santhakumar</t>
  </si>
  <si>
    <t>Chemplast Sanmar</t>
  </si>
  <si>
    <t>AVAYA IP Phones</t>
  </si>
  <si>
    <t>New Contract</t>
  </si>
  <si>
    <t>02/04/2026</t>
  </si>
  <si>
    <t>20/03/2026</t>
  </si>
  <si>
    <t>Rajesh Handoo</t>
  </si>
  <si>
    <t>Gaurav Nigam</t>
  </si>
  <si>
    <t>ABC Cement</t>
  </si>
  <si>
    <t>Network Expansion for ABC Cement Bikaner Phase 1</t>
  </si>
  <si>
    <t>21/03/2026</t>
  </si>
  <si>
    <t>Network Requirmnet in ABC Cement Bikaner - Phase  2</t>
  </si>
  <si>
    <t>Network Requirement in ABC Cement Bhatinda</t>
  </si>
  <si>
    <t>Access Point for ABC Cement - Gurgaon</t>
  </si>
  <si>
    <t>Sony India Pvt.Ltd.</t>
  </si>
  <si>
    <t>Dialer API integration for Sony India</t>
  </si>
  <si>
    <t>Access Point for ABC Cement - Bhiwadi,</t>
  </si>
  <si>
    <t>Vinay Kumar Yadav</t>
  </si>
  <si>
    <t>SATS Food Solutions India Private Limited</t>
  </si>
  <si>
    <t>SATS - Juniper AMC</t>
  </si>
  <si>
    <t>Renewal</t>
  </si>
  <si>
    <t>03/04/2026</t>
  </si>
  <si>
    <t>22/03/2026</t>
  </si>
  <si>
    <t/>
  </si>
  <si>
    <t>AMRITA INSTITUTE OF MEDICAL SCIENCE - AIMS</t>
  </si>
  <si>
    <t>Amrita - Avaya AMC</t>
  </si>
  <si>
    <t>East</t>
  </si>
  <si>
    <t>Abhijit Ghosh</t>
  </si>
  <si>
    <t>Yadvinder Singh</t>
  </si>
  <si>
    <t>Eveready Industries India Ltd</t>
  </si>
  <si>
    <t>Eveready Mumbai 55" LG Display</t>
  </si>
  <si>
    <t>Equipment Only / Drop Ship</t>
  </si>
  <si>
    <t>FMCG</t>
  </si>
  <si>
    <t>Multilocation Rewamp - B'lore KGS</t>
  </si>
  <si>
    <t>05/04/2026</t>
  </si>
  <si>
    <t>06/01/2026</t>
  </si>
  <si>
    <t>New AV Requiremnet for KGS Kochi</t>
  </si>
  <si>
    <t>09/01/2026</t>
  </si>
  <si>
    <t>AV Expansion for Gurgaon - FMCGINDIA</t>
  </si>
  <si>
    <t>FMCGIndia -Requirment for Pune</t>
  </si>
  <si>
    <t>Av Requiremnet for FMCGBangalore</t>
  </si>
  <si>
    <t>Jindal Steel &amp; Power Ltd</t>
  </si>
  <si>
    <t>JSPL Angul Allied Telesis 14 switches</t>
  </si>
  <si>
    <t>Stage 5 Final Approval</t>
  </si>
  <si>
    <t>Commit</t>
  </si>
  <si>
    <t>07/04/2026</t>
  </si>
  <si>
    <t>Atria Convergence Technologies Limited</t>
  </si>
  <si>
    <t>ACT - AP AMC</t>
  </si>
  <si>
    <t>Coronis Ajuba Solutions Pvt Ltd</t>
  </si>
  <si>
    <t>Coronis - Cisco AMC</t>
  </si>
  <si>
    <t>Sterlite Technologies Limited</t>
  </si>
  <si>
    <t>Hardware requiremnet for STL - Juniper</t>
  </si>
  <si>
    <t>Mantle Solutions</t>
  </si>
  <si>
    <t>Mantle - Avaya AMC</t>
  </si>
  <si>
    <t>Arindam Dutta</t>
  </si>
  <si>
    <t>Vikram Solar</t>
  </si>
  <si>
    <t>Vikram Solar_ CCTV Order</t>
  </si>
  <si>
    <t>08/04/2026</t>
  </si>
  <si>
    <t>Connectivity Infrastructure</t>
  </si>
  <si>
    <t>Rashmi Metaliks Limited</t>
  </si>
  <si>
    <t>Rashmi Group_ CCTV +VMS Order</t>
  </si>
  <si>
    <t>west</t>
  </si>
  <si>
    <t>Premjeet Singh</t>
  </si>
  <si>
    <t>Gaurishankar Mudaliyar</t>
  </si>
  <si>
    <t>Siemens Industry Software India Pvt Ltd</t>
  </si>
  <si>
    <t>Siemens_Allied SFP</t>
  </si>
  <si>
    <t>GE Healthcare</t>
  </si>
  <si>
    <t>Wipro GE- Xray division - AMC</t>
  </si>
  <si>
    <t>INFOSYS LIMITED</t>
  </si>
  <si>
    <t>Infosys-Bangalore-Avaya AMC</t>
  </si>
  <si>
    <t>Infosys-Chandigarh-AMC</t>
  </si>
  <si>
    <t>FEDERAL BANK</t>
  </si>
  <si>
    <t>Federal Bank - One time activity</t>
  </si>
  <si>
    <t>Wipro GE - Industrial Area - AMC</t>
  </si>
  <si>
    <t>Abhishek Raina</t>
  </si>
  <si>
    <t>Nitin Trehon</t>
  </si>
  <si>
    <t>Financial Software &amp; Systems Pvt Ltd</t>
  </si>
  <si>
    <t>Cisco Network Refresh</t>
  </si>
  <si>
    <t>09/04/2026</t>
  </si>
  <si>
    <t>29/04/2025</t>
  </si>
  <si>
    <t>Pradeep C B</t>
  </si>
  <si>
    <t>L &amp; T Energy  Hydrocarbon</t>
  </si>
  <si>
    <t>Lan setup refresh for existing office space</t>
  </si>
  <si>
    <t>Stage 3 Evaluate Options</t>
  </si>
  <si>
    <t>Upside</t>
  </si>
  <si>
    <t>25/10/2025</t>
  </si>
  <si>
    <t>Yogesh Parsekar</t>
  </si>
  <si>
    <t>Rajat Varma</t>
  </si>
  <si>
    <t>Union Asset Management</t>
  </si>
  <si>
    <t>AVAYA AMC Renewal</t>
  </si>
  <si>
    <t>bisleri</t>
  </si>
  <si>
    <t>POLY AMC Renewal</t>
  </si>
  <si>
    <t>Stage 1 Stimulated</t>
  </si>
  <si>
    <t>Pipeline</t>
  </si>
  <si>
    <t>ESSAR PROJECTS LIMITED</t>
  </si>
  <si>
    <t>Tuv Sud South Asia Private Limited</t>
  </si>
  <si>
    <t>TUV_Fortinet_NAS</t>
  </si>
  <si>
    <t>06/03/2026</t>
  </si>
  <si>
    <t>Preetam Verma</t>
  </si>
  <si>
    <t>Voltas Limited</t>
  </si>
  <si>
    <t>Voltas-ELV CtrLS-Variation</t>
  </si>
  <si>
    <t>Project - T&amp;M</t>
  </si>
  <si>
    <t>10/04/2026</t>
  </si>
  <si>
    <t>24/02/2026</t>
  </si>
  <si>
    <t>Shubham Srivastava</t>
  </si>
  <si>
    <t>ADP India Pvt Ltd</t>
  </si>
  <si>
    <t>ADP _ Atrium Pune</t>
  </si>
  <si>
    <t>Stage 4 Recommendation</t>
  </si>
  <si>
    <t>Interface Transworld LLC</t>
  </si>
  <si>
    <t>Online technical Support</t>
  </si>
  <si>
    <t>JK tyres</t>
  </si>
  <si>
    <t>JK Tyre- MD House- JK Fenner</t>
  </si>
  <si>
    <t>13/04/2026</t>
  </si>
  <si>
    <t>16/01/2026</t>
  </si>
  <si>
    <t>BEL</t>
  </si>
  <si>
    <t>BEL _ NS1 Repeat order from naveen kumar</t>
  </si>
  <si>
    <t>Avaya Subscription for 2nd Year</t>
  </si>
  <si>
    <t>06/04/2026</t>
  </si>
  <si>
    <t>Vasant Tangsali</t>
  </si>
  <si>
    <t>Supreme Industries Ltd.</t>
  </si>
  <si>
    <t>Supreme Durgapur-Kolkata Add on Req</t>
  </si>
  <si>
    <t>Stage 2 Problem Definition</t>
  </si>
  <si>
    <t>KIRBY BUILDING SYSTEMS &amp; STRUCTURES INDIA PRIVATE LIMITED</t>
  </si>
  <si>
    <t>Avaya Handset Cord Spring Cables</t>
  </si>
  <si>
    <t>14/04/2026</t>
  </si>
  <si>
    <t>Galaxy Hyatt Hotel</t>
  </si>
  <si>
    <t>Galaxy Hotel AV &amp; BGM</t>
  </si>
  <si>
    <t>15/04/2026</t>
  </si>
  <si>
    <t>21/12/2025</t>
  </si>
  <si>
    <t>Jagat Dora</t>
  </si>
  <si>
    <t>Munish R</t>
  </si>
  <si>
    <t>Lowe's Services India Pvt. Ltd</t>
  </si>
  <si>
    <t>Lowes_ LED WALL</t>
  </si>
  <si>
    <t>13/02/2026</t>
  </si>
  <si>
    <t>Galaxy Hyatt Guwahati Data Voice DC Infra</t>
  </si>
  <si>
    <t>14/02/2026</t>
  </si>
  <si>
    <t>Indorama Ventures Global Shared Services</t>
  </si>
  <si>
    <t>Indorama_Colortokens</t>
  </si>
  <si>
    <t>23/02/2026</t>
  </si>
  <si>
    <t>Balarampur Chini Mills Ltd</t>
  </si>
  <si>
    <t>BCML Kumbhi Plant Networking</t>
  </si>
  <si>
    <t>03/03/2026</t>
  </si>
  <si>
    <t>Emami Ltd.</t>
  </si>
  <si>
    <t>Emami Pacharia Guwahati Boardroom AV VC</t>
  </si>
  <si>
    <t>04/03/2026</t>
  </si>
  <si>
    <t>PWC SDC</t>
  </si>
  <si>
    <t>PwC SDC CCTV</t>
  </si>
  <si>
    <t>05/03/2026</t>
  </si>
  <si>
    <t>JSPL Angul Cisco switch &amp; AP 1 2 3</t>
  </si>
  <si>
    <t>27/03/2026</t>
  </si>
  <si>
    <t>JSPL Raigarh Parsala Automation Network</t>
  </si>
  <si>
    <t>31/03/2026</t>
  </si>
  <si>
    <t>Tanjeet Singh</t>
  </si>
  <si>
    <t>ISB mohali</t>
  </si>
  <si>
    <t>ISB FMS Service</t>
  </si>
  <si>
    <t>HITACHI  ENERGY</t>
  </si>
  <si>
    <t>HITACHI ENERGY_AV Solution</t>
  </si>
  <si>
    <t>17/04/2026</t>
  </si>
  <si>
    <t>20/03/2025</t>
  </si>
  <si>
    <t>State Bank Institute of Leadership (SBIL), Kolkata,</t>
  </si>
  <si>
    <t>SBIL_AV/VC Opp</t>
  </si>
  <si>
    <t>07/12/2025</t>
  </si>
  <si>
    <t>Suman Kumari</t>
  </si>
  <si>
    <t>Neutral Publishing House Ltd</t>
  </si>
  <si>
    <t>NGFW -2 NOS @Prabhat Khabar</t>
  </si>
  <si>
    <t>20/04/2026</t>
  </si>
  <si>
    <t>01/03/2026</t>
  </si>
  <si>
    <t>Cybersecurity</t>
  </si>
  <si>
    <t>Jeyaraj S R</t>
  </si>
  <si>
    <t>Star Health Insurance Ltd</t>
  </si>
  <si>
    <t>DC-DR-AMC services</t>
  </si>
  <si>
    <t>23/03/2026</t>
  </si>
  <si>
    <t>Novac Technology Solutions Private Limited</t>
  </si>
  <si>
    <t>DC Switching AMC services</t>
  </si>
  <si>
    <t>BSES Rajdhani Power Ltd</t>
  </si>
  <si>
    <t>RFP+ RA- BSES Command Centre (SCADA)</t>
  </si>
  <si>
    <t>21/04/2026</t>
  </si>
  <si>
    <t>05/01/2026</t>
  </si>
  <si>
    <t>Skoda Volkswagen group</t>
  </si>
  <si>
    <t>Skoda_License</t>
  </si>
  <si>
    <t>22/04/2026</t>
  </si>
  <si>
    <t>26/10/2025</t>
  </si>
  <si>
    <t>Hindalco Industries Limited</t>
  </si>
  <si>
    <t>Hindalco- Audiocodes</t>
  </si>
  <si>
    <t>22/12/2025</t>
  </si>
  <si>
    <t>Flipkart Runrate Campus</t>
  </si>
  <si>
    <t>MRF Limited</t>
  </si>
  <si>
    <t>OT Security</t>
  </si>
  <si>
    <t>23/04/2026</t>
  </si>
  <si>
    <t>10/12/2025</t>
  </si>
  <si>
    <t>RMZ Nexity &amp; Spire</t>
  </si>
  <si>
    <t>RMZ - CCTV &amp; Access control AMC</t>
  </si>
  <si>
    <t>Tvs Motor Company Limited</t>
  </si>
  <si>
    <t>BLR-Koramangala Office AV</t>
  </si>
  <si>
    <t>06/02/2026</t>
  </si>
  <si>
    <t>RRD</t>
  </si>
  <si>
    <t>Voice Opp</t>
  </si>
  <si>
    <t>24/04/2026</t>
  </si>
  <si>
    <t>04/01/2026</t>
  </si>
  <si>
    <t>West</t>
  </si>
  <si>
    <t>Supreme Industries Ltd Plant UP Plant Kanpur</t>
  </si>
  <si>
    <t>25/04/2026</t>
  </si>
  <si>
    <t>01/03/2025</t>
  </si>
  <si>
    <t>Aurobindo Pharma Ltd</t>
  </si>
  <si>
    <t>Avaya call recording Solution</t>
  </si>
  <si>
    <t>27/04/2026</t>
  </si>
  <si>
    <t>MS Teams Integration for Direct Routing</t>
  </si>
  <si>
    <t>Avaya Aura Upgrade from 8.x to 10.x</t>
  </si>
  <si>
    <t>Adama India Pvt Ltd</t>
  </si>
  <si>
    <t>Request to configure Dahej location as an independent Avaya VOIP cluster.</t>
  </si>
  <si>
    <t>Jaydeep Kumar Seal</t>
  </si>
  <si>
    <t>Kajaria Ceramics limited</t>
  </si>
  <si>
    <t>RFP-kajaria - IP telephony</t>
  </si>
  <si>
    <t>28/04/2026</t>
  </si>
  <si>
    <t>RFP-Kajaria - new corporate office networking plus access points</t>
  </si>
  <si>
    <t>Vinayaka Missions Research Foundation - DU</t>
  </si>
  <si>
    <t>On Prem DC Built</t>
  </si>
  <si>
    <t>Data Centers</t>
  </si>
  <si>
    <t>Labour Colony Fiber and Wi Fi req</t>
  </si>
  <si>
    <t>29/04/2026</t>
  </si>
  <si>
    <t>Volvo</t>
  </si>
  <si>
    <t>Volvo - Bagmane &amp; Hoskote</t>
  </si>
  <si>
    <t>UIIC_</t>
  </si>
  <si>
    <t>AV__Opportunity</t>
  </si>
  <si>
    <t>12/03/2026</t>
  </si>
  <si>
    <t>MUTHOOT FINCORP</t>
  </si>
  <si>
    <t>Switches Revamp</t>
  </si>
  <si>
    <t>30/04/2026</t>
  </si>
  <si>
    <t>27/10/2025</t>
  </si>
  <si>
    <t>Merlin Group</t>
  </si>
  <si>
    <t>Merlin WTC Tower 1 - ELV  Networking &amp; AV</t>
  </si>
  <si>
    <t>Jindal Power Limited</t>
  </si>
  <si>
    <t>JPL DCPP Tamnar Fortinet Firewalls refresh</t>
  </si>
  <si>
    <t>V Srinath Kumar</t>
  </si>
  <si>
    <t>BANGALORE METRO RAIL CORPORATION LIMITED (BMRCL)</t>
  </si>
  <si>
    <t>BMRCL SOC and NOC</t>
  </si>
  <si>
    <t>Ankit Toshniwal</t>
  </si>
  <si>
    <t>GMR Hyderabad International Airport Limited</t>
  </si>
  <si>
    <t>RA + RFP -new cargo</t>
  </si>
  <si>
    <t>dhrubajeet Bordoloi</t>
  </si>
  <si>
    <t>NEEPCO</t>
  </si>
  <si>
    <t>Security Audit opportunity</t>
  </si>
  <si>
    <t>Information Technology and Communication Department</t>
  </si>
  <si>
    <t>Central Coalfields Limited</t>
  </si>
  <si>
    <t>RFP-CCL CCTV- JSSPS,Khelgaon,Ranchi</t>
  </si>
  <si>
    <t>Raghu Y</t>
  </si>
  <si>
    <t>RMZ Corp</t>
  </si>
  <si>
    <t>CC Tv Solution</t>
  </si>
  <si>
    <t>Bosch Global Software Technologies Private limited</t>
  </si>
  <si>
    <t>BOSCH _Vertiv RACKS &amp; UPS</t>
  </si>
  <si>
    <t>08/01/2026</t>
  </si>
  <si>
    <t>JPL DCPP Tamnar Campus Network Upgrade</t>
  </si>
  <si>
    <t>Woodlands Hospital</t>
  </si>
  <si>
    <t>Woodlands Hospital Palo Alto Firewall</t>
  </si>
  <si>
    <t>JPL Hisar FG400F Firewall in HA</t>
  </si>
  <si>
    <t>Canara Bank</t>
  </si>
  <si>
    <t>NMS, NCCM and NFM</t>
  </si>
  <si>
    <t>WAISL Limited</t>
  </si>
  <si>
    <t>switching requirement DIAL</t>
  </si>
  <si>
    <t>Rishabh Vijan</t>
  </si>
  <si>
    <t>TATA CONSULTANCY SERVICES LTD</t>
  </si>
  <si>
    <t>TCS BPS Subscription</t>
  </si>
  <si>
    <t>09/03/2026</t>
  </si>
  <si>
    <t>Brady Company India Pvt. Ltd</t>
  </si>
  <si>
    <t>Brady_ Avaya Renewal</t>
  </si>
  <si>
    <t>16/03/2026</t>
  </si>
  <si>
    <t>Juniper 850W DC Power Module</t>
  </si>
  <si>
    <t>JSPL Angul  Allied Telesis 16 switches &amp; SFP</t>
  </si>
  <si>
    <t>IIM Calcutta</t>
  </si>
  <si>
    <t>IIMC Checkpoint Firewall Subscription</t>
  </si>
  <si>
    <t>Azim Premji Foundation</t>
  </si>
  <si>
    <t>APU - Cluster 2 Juniper AMC</t>
  </si>
  <si>
    <t>Chennai Metro Rail Limited</t>
  </si>
  <si>
    <t>CMRL - AMC renewal</t>
  </si>
  <si>
    <t>SANMAR - Avaya AMC</t>
  </si>
  <si>
    <t>ACT_HYD_ Juniper QFX 5200</t>
  </si>
  <si>
    <t>24/03/2026</t>
  </si>
  <si>
    <t>Startek</t>
  </si>
  <si>
    <t>Startek APS</t>
  </si>
  <si>
    <t>TUV SUD _ Sonicwall Renewal</t>
  </si>
  <si>
    <t>Passive requiremnet for FMCGNoida &amp; Gurgaon RFP/RA</t>
  </si>
  <si>
    <t>Vipeen Rawat</t>
  </si>
  <si>
    <t>DCB Bank Ltd</t>
  </si>
  <si>
    <t>Maintenance of Onesys Apps &amp; Middleware Apps</t>
  </si>
  <si>
    <t>Mohan Lalye</t>
  </si>
  <si>
    <t>Taj Hotels</t>
  </si>
  <si>
    <t>Taj Westend Bangalore</t>
  </si>
  <si>
    <t>Nuvoco Vistas Corp. Ltd</t>
  </si>
  <si>
    <t>Best Effort Basis Support for Avaya EPBAX</t>
  </si>
  <si>
    <t>SODEXO SERVICES ASIA PTE LTD</t>
  </si>
  <si>
    <t>Renewal for cisco and Fortinet devices Sodexo</t>
  </si>
  <si>
    <t>01/05/2026</t>
  </si>
  <si>
    <t>ELV Opportunity for ABC Cement - Mangrol - RFP</t>
  </si>
  <si>
    <t>04/05/2026</t>
  </si>
  <si>
    <t>Tender+ RA-CCTV for zonal office,200</t>
  </si>
  <si>
    <t>05/05/2026</t>
  </si>
  <si>
    <t>Worldline Global Services</t>
  </si>
  <si>
    <t>WGS_Firewall</t>
  </si>
  <si>
    <t>30/01/2026</t>
  </si>
  <si>
    <t>Dalmia Cement</t>
  </si>
  <si>
    <t>Requirement for CCTV system  new plant</t>
  </si>
  <si>
    <t>15/02/2026</t>
  </si>
  <si>
    <t>CtrlS Variation NT items</t>
  </si>
  <si>
    <t>BEL - NS1 Server</t>
  </si>
  <si>
    <t>06/05/2026</t>
  </si>
  <si>
    <t>BSES Yamuna Power Ltd</t>
  </si>
  <si>
    <t>Avedge</t>
  </si>
  <si>
    <t>kajaria - Change in existing CMD conference room</t>
  </si>
  <si>
    <t>07/05/2026</t>
  </si>
  <si>
    <t>30/10/2025</t>
  </si>
  <si>
    <t>Arrow Electronics India Pvt Ltd</t>
  </si>
  <si>
    <t>Arrow _ HPE Aruba_ Networking</t>
  </si>
  <si>
    <t>08/05/2026</t>
  </si>
  <si>
    <t>17/07/2025</t>
  </si>
  <si>
    <t>Essel Minning Industries Ltd</t>
  </si>
  <si>
    <t>ICCC_Essel Minning</t>
  </si>
  <si>
    <t>Mohammed Rahman</t>
  </si>
  <si>
    <t>Banglalink</t>
  </si>
  <si>
    <t>Contact Center Upgrade-2025</t>
  </si>
  <si>
    <t>USD</t>
  </si>
  <si>
    <t>10/05/2026</t>
  </si>
  <si>
    <t>Bihar School Examination Board Patna</t>
  </si>
  <si>
    <t>RFP-Data Centre Refresh@BSEB Patna</t>
  </si>
  <si>
    <t>Amara Raja Batteries Ltd</t>
  </si>
  <si>
    <t>VAPT Opportunity</t>
  </si>
  <si>
    <t>02/02/2026</t>
  </si>
  <si>
    <t>Skoda_Network Refresh</t>
  </si>
  <si>
    <t>11/05/2026</t>
  </si>
  <si>
    <t>Tender + RA- BYPL- 2 DC refresh</t>
  </si>
  <si>
    <t>United India Insurance Co Ltd</t>
  </si>
  <si>
    <t>NAC</t>
  </si>
  <si>
    <t>08/12/2025</t>
  </si>
  <si>
    <t>PUNE IT City Metro Rail Limited</t>
  </si>
  <si>
    <t>PITCMRL_Network</t>
  </si>
  <si>
    <t>L&amp;T ECC</t>
  </si>
  <si>
    <t>IIS Banglore</t>
  </si>
  <si>
    <t>Anadaman SWAN</t>
  </si>
  <si>
    <t>Andaman SWAN</t>
  </si>
  <si>
    <t>Bihar Police Headquarters Patna</t>
  </si>
  <si>
    <t>Setting up a Professional Podcast Room</t>
  </si>
  <si>
    <t>MYK Laticrete India Private Limited</t>
  </si>
  <si>
    <t>AV Solution</t>
  </si>
  <si>
    <t>Jubilant FoodWorks Ltd</t>
  </si>
  <si>
    <t>Addtional Passive Requirmnet for JFL Mumbai</t>
  </si>
  <si>
    <t>12/05/2026</t>
  </si>
  <si>
    <t>Tender+RA-BYPL- NMS and EMS</t>
  </si>
  <si>
    <t>22/01/2026</t>
  </si>
  <si>
    <t>Neeraj Hotwani</t>
  </si>
  <si>
    <t>Janaseva Sahkari Bank Ltd.</t>
  </si>
  <si>
    <t>Janaseva - Sophos AMC</t>
  </si>
  <si>
    <t>Volkswagen Group Digital Solutions Pvt. Ltd.</t>
  </si>
  <si>
    <t>Volkswagen _ Network</t>
  </si>
  <si>
    <t>Switching requiremnet for ABC Cement - Multiple site</t>
  </si>
  <si>
    <t>Kuehne-Nagel</t>
  </si>
  <si>
    <t>Kuehne Nagel- Chennai</t>
  </si>
  <si>
    <t>13/05/2026</t>
  </si>
  <si>
    <t>17/03/2026</t>
  </si>
  <si>
    <t>HCL Technologies LImited</t>
  </si>
  <si>
    <t>RA -HCL HYD WU</t>
  </si>
  <si>
    <t>19/03/2026</t>
  </si>
  <si>
    <t>ACT_ Networking Switch (New model) ACX</t>
  </si>
  <si>
    <t>14/05/2026</t>
  </si>
  <si>
    <t>25/07/2025</t>
  </si>
  <si>
    <t>Indian Insitute of Science</t>
  </si>
  <si>
    <t>IISC through  LTTS-AV</t>
  </si>
  <si>
    <t>AIPL</t>
  </si>
  <si>
    <t>New Green Field Project for EVL at AIPL Site</t>
  </si>
  <si>
    <t>Hikal Ltd</t>
  </si>
  <si>
    <t>Hikal Avaya Subscription</t>
  </si>
  <si>
    <t>IISC - Through - LTTS- RTLS</t>
  </si>
  <si>
    <t>IISC Through LTTS -ELV</t>
  </si>
  <si>
    <t>Lowes_AV_ D3 _Townhall Project</t>
  </si>
  <si>
    <t>15/05/2026</t>
  </si>
  <si>
    <t>27/06/2025</t>
  </si>
  <si>
    <t>Bosch_ WH_VMS_SW_ Project Phase 2</t>
  </si>
  <si>
    <t>03/10/2025</t>
  </si>
  <si>
    <t>Alldigi</t>
  </si>
  <si>
    <t>Juniper Switches Refresh</t>
  </si>
  <si>
    <t>Eastern Bank Limited</t>
  </si>
  <si>
    <t>Contact Center Upgrade + Digital Platform - 2025</t>
  </si>
  <si>
    <t>Numaligarh Refinery Limited</t>
  </si>
  <si>
    <t>New IP EPBX expansion requirement</t>
  </si>
  <si>
    <t>L3 Switch requirement</t>
  </si>
  <si>
    <t>Jharkhand State Co-Operative Bank</t>
  </si>
  <si>
    <t>Jharkhand Co0perative Bank-WAF</t>
  </si>
  <si>
    <t>Bosch_ BNG_AV Solution</t>
  </si>
  <si>
    <t>03/01/2026</t>
  </si>
  <si>
    <t>Agristo Masa Pvt Ltd</t>
  </si>
  <si>
    <t>PA, CCTV &amp; ACS- ELV at Agristo</t>
  </si>
  <si>
    <t>ELV Solution for Jublient Mumbai -RFP</t>
  </si>
  <si>
    <t>AURA ENGINEERING CONTRACTS PVT LTD.,</t>
  </si>
  <si>
    <t>Aura_Campus Networking, CCTV, AV, etc</t>
  </si>
  <si>
    <t>11/01/2026</t>
  </si>
  <si>
    <t>Pratik Parekh</t>
  </si>
  <si>
    <t>MARUTI SUZUKI INDIA LIMITED</t>
  </si>
  <si>
    <t>SMG - IT Infra for Offsite warehouse</t>
  </si>
  <si>
    <t>Convert of History wall to Digital wall</t>
  </si>
  <si>
    <t>JUSNL Ranchi</t>
  </si>
  <si>
    <t>RFP-Wifi and ILL @JUSNL</t>
  </si>
  <si>
    <t>Startek Gateway and cards</t>
  </si>
  <si>
    <t>RFP-DC Refresh @JSCB</t>
  </si>
  <si>
    <t>18/05/2026</t>
  </si>
  <si>
    <t>BEL - S &amp; C axis commscope</t>
  </si>
  <si>
    <t>19/05/2026</t>
  </si>
  <si>
    <t>RRD VC</t>
  </si>
  <si>
    <t>20/05/2026</t>
  </si>
  <si>
    <t>16/01/2025</t>
  </si>
  <si>
    <t>TUVSUD_SIEM</t>
  </si>
  <si>
    <t>21/03/2025</t>
  </si>
  <si>
    <t>Passive/Active work for Dahej plant</t>
  </si>
  <si>
    <t>Hansadirect</t>
  </si>
  <si>
    <t>Genesys dailer for M&amp;M</t>
  </si>
  <si>
    <t>Bansal Group</t>
  </si>
  <si>
    <t>RFP_Bansal Hospital _Switches</t>
  </si>
  <si>
    <t>AVAYA Voice</t>
  </si>
  <si>
    <t>Extreme_AMC</t>
  </si>
  <si>
    <t>RA - chennai cafe</t>
  </si>
  <si>
    <t>Neuland Laboratories Limited</t>
  </si>
  <si>
    <t>Core Switch Opportunity</t>
  </si>
  <si>
    <t>TVS Motor Active Passive Italy Plant</t>
  </si>
  <si>
    <t>BEL - NWCS - Super Micro Datacore</t>
  </si>
  <si>
    <t>Amrita</t>
  </si>
  <si>
    <t>AVAYA VOICE</t>
  </si>
  <si>
    <t>V-Guard</t>
  </si>
  <si>
    <t>Atul Limited</t>
  </si>
  <si>
    <t>ATUL - AV Solution for Board Room</t>
  </si>
  <si>
    <t>Sardar Vallabhbhai National Institute of Technology, SVNIT</t>
  </si>
  <si>
    <t>SVNIT_ Active Devices AMC</t>
  </si>
  <si>
    <t>SMG - 500nos. CCTV IT Infra Implementation</t>
  </si>
  <si>
    <t>Gail India Limited</t>
  </si>
  <si>
    <t>GAIL - Vijaupur CCTV IT Infra Implementation</t>
  </si>
  <si>
    <t>Indian Bank</t>
  </si>
  <si>
    <t>VC End point for 20 Locations</t>
  </si>
  <si>
    <t>RA - HCL Vijayawada</t>
  </si>
  <si>
    <t>21/05/2026</t>
  </si>
  <si>
    <t>Torrent Power Limited</t>
  </si>
  <si>
    <t>Torrent - Secure IT Network at 2*800 MW TPP Anuppur Project Site, MP</t>
  </si>
  <si>
    <t>Switches___Kochi__JUNI</t>
  </si>
  <si>
    <t>21/02/2026</t>
  </si>
  <si>
    <t>Adani Power Limited</t>
  </si>
  <si>
    <t>Adani - VC Require for Conference Room, Raipur</t>
  </si>
  <si>
    <t>Ageas Federal Life Insurance Company Limited</t>
  </si>
  <si>
    <t>Network Revamp For Aegis Federal</t>
  </si>
  <si>
    <t>22/05/2026</t>
  </si>
  <si>
    <t>08/10/2024</t>
  </si>
  <si>
    <t>Sun Pharmaceutical Industries Ltd</t>
  </si>
  <si>
    <t>Sun Pharma Baroda</t>
  </si>
  <si>
    <t>06/01/2025</t>
  </si>
  <si>
    <t>EY (Ernst &amp; Young)</t>
  </si>
  <si>
    <t>AV Opportunity</t>
  </si>
  <si>
    <t>Oil India Ltd</t>
  </si>
  <si>
    <t>150 nos of Access Switch Tender</t>
  </si>
  <si>
    <t>AV_Opportunity_SAMSUNG</t>
  </si>
  <si>
    <t>KSFE</t>
  </si>
  <si>
    <t>SD WAN</t>
  </si>
  <si>
    <t>Meril life sciences Pvt ltd</t>
  </si>
  <si>
    <t>Merai - Extreme Switching Gurugram</t>
  </si>
  <si>
    <t>TOPRE INDIA PRIVATE LIMITED</t>
  </si>
  <si>
    <t>Topre - ACS system of MATRIX</t>
  </si>
  <si>
    <t>12/02/2026</t>
  </si>
  <si>
    <t>Dhamecha Group</t>
  </si>
  <si>
    <t>Dhamecha : O365 Microsoft License</t>
  </si>
  <si>
    <t>JBVNL Ranchi</t>
  </si>
  <si>
    <t>RFP-JBVNL Managed wifi</t>
  </si>
  <si>
    <t>23/05/2026</t>
  </si>
  <si>
    <t>Microland - AV</t>
  </si>
  <si>
    <t>25/05/2026</t>
  </si>
  <si>
    <t>Kerala State Financial Enterprises Limited</t>
  </si>
  <si>
    <t>SDWAN</t>
  </si>
  <si>
    <t>Kerala Fibre Optic Network</t>
  </si>
  <si>
    <t>Network Upgradation</t>
  </si>
  <si>
    <t>Audio Visual requirement and AMC renewal</t>
  </si>
  <si>
    <t>ADP _ PA System Installation at Bangalore Office</t>
  </si>
  <si>
    <t>BEL -NS1 project</t>
  </si>
  <si>
    <t>26/05/2026</t>
  </si>
  <si>
    <t>02/10/2025</t>
  </si>
  <si>
    <t>Rashmi Group_ AV/VC</t>
  </si>
  <si>
    <t>TVS INDEON LIMITED</t>
  </si>
  <si>
    <t>BEL -Schnider VMR</t>
  </si>
  <si>
    <t>RFP+RA-Telesoft Voice Recording</t>
  </si>
  <si>
    <t>Flipkart RunRate - April - June</t>
  </si>
  <si>
    <t>TUV SUD _ Cisco Switch</t>
  </si>
  <si>
    <t>27/05/2026</t>
  </si>
  <si>
    <t>ONGC</t>
  </si>
  <si>
    <t>ONGC Empanelment</t>
  </si>
  <si>
    <t>28/05/2026</t>
  </si>
  <si>
    <t>06/12/2025</t>
  </si>
  <si>
    <t>RFP_Kajaria - new campus AV solution</t>
  </si>
  <si>
    <t>RSPL Ltd</t>
  </si>
  <si>
    <t>CCTV Requiremnet at RSPL Dwarka</t>
  </si>
  <si>
    <t>QUEST DIAGNOSTICS INC</t>
  </si>
  <si>
    <t>AV _ Refresh Requirement _ Must replacement Commercial</t>
  </si>
  <si>
    <t>Meril - Extreme 100 Switches</t>
  </si>
  <si>
    <t>State Bank Of India</t>
  </si>
  <si>
    <t>SBI ROC Videowall Display Processor</t>
  </si>
  <si>
    <t>CRC</t>
  </si>
  <si>
    <t>parking management solution</t>
  </si>
  <si>
    <t>AV _ Refresh _ Can be utilized until it goes faulty.</t>
  </si>
  <si>
    <t>Uniorbit Technologies Private Limited</t>
  </si>
  <si>
    <t>UniOrbit _ TrendMicro_ EPP Renewal</t>
  </si>
  <si>
    <t>29/05/2026</t>
  </si>
  <si>
    <t>13/08/2024</t>
  </si>
  <si>
    <t>UniOrbit _Zscaler _ZTNA</t>
  </si>
  <si>
    <t>24/03/2025</t>
  </si>
  <si>
    <t>Vodafone Idea Limited</t>
  </si>
  <si>
    <t>VIL- CCTV and Access - Add on 15 locations Order</t>
  </si>
  <si>
    <t>05/07/2025</t>
  </si>
  <si>
    <t>UniOrbit_ Sophos_ EPP</t>
  </si>
  <si>
    <t>VIL- enterprise</t>
  </si>
  <si>
    <t>27/09/2025</t>
  </si>
  <si>
    <t>Mahindra Vehicle Manufacturers Ltd.</t>
  </si>
  <si>
    <t>Mahindra _ Allied Wifi</t>
  </si>
  <si>
    <t>Conference Room Tender</t>
  </si>
  <si>
    <t>Airport Authority of India Madurai</t>
  </si>
  <si>
    <t>SITC CCTV and CAMC</t>
  </si>
  <si>
    <t>EIH Limited</t>
  </si>
  <si>
    <t>RA - Trident agra</t>
  </si>
  <si>
    <t>Pondicherry University</t>
  </si>
  <si>
    <t>Network Refresh</t>
  </si>
  <si>
    <t>Yatra</t>
  </si>
  <si>
    <t>Call Centre Upgrade for Yatra</t>
  </si>
  <si>
    <t>KSITM</t>
  </si>
  <si>
    <t>Firewall</t>
  </si>
  <si>
    <t>21/01/2026</t>
  </si>
  <si>
    <t>Sharda Motors</t>
  </si>
  <si>
    <t>centralized monitoring system for CCTV</t>
  </si>
  <si>
    <t>Lowes_Studio</t>
  </si>
  <si>
    <t>L3 Switch opportunity for Kopili project</t>
  </si>
  <si>
    <t>National Stock Exchange of India Ltd.</t>
  </si>
  <si>
    <t>NSE Cisco Contact CentreLicenses</t>
  </si>
  <si>
    <t>Eureka Securities Ltd</t>
  </si>
  <si>
    <t>Eureka New Office Network</t>
  </si>
  <si>
    <t>30/05/2026</t>
  </si>
  <si>
    <t>Wireless_Opportunity</t>
  </si>
  <si>
    <t>PSA Mumbai</t>
  </si>
  <si>
    <t>Global PSA BMCTPL_PSA_JNPT_Mumbai AV Case</t>
  </si>
  <si>
    <t>Princeton Digital Group</t>
  </si>
  <si>
    <t>PDG CCTV</t>
  </si>
  <si>
    <t>NSE Asset &amp; Inventory Management Solution</t>
  </si>
  <si>
    <t>Matix Fertilizers &amp; Chemicals Ltd</t>
  </si>
  <si>
    <t>MATIX Panagarh Cisco Nexus Switch Refresh</t>
  </si>
  <si>
    <t>31/05/2026</t>
  </si>
  <si>
    <t>Haldia Petrochemical Limited</t>
  </si>
  <si>
    <t>Convergence_HPL_Avaya CM_Upgrade</t>
  </si>
  <si>
    <t>OPJ School Patratu Network &amp; ELV</t>
  </si>
  <si>
    <t>JPL Tamnar Cisco PoE Switch &amp; AP</t>
  </si>
  <si>
    <t>Andhra Paper Limited.</t>
  </si>
  <si>
    <t>HCI Technology</t>
  </si>
  <si>
    <t>Tape Library Opportunity</t>
  </si>
  <si>
    <t>Access Points Solution</t>
  </si>
  <si>
    <t>BirlaNu Ltd</t>
  </si>
  <si>
    <t>Back Up Solution</t>
  </si>
  <si>
    <t>Eveready Maddur Network &amp; CCTV Expansion</t>
  </si>
  <si>
    <t>HPL Cisco ISE</t>
  </si>
  <si>
    <t>HPL Adplus Cisco Core &amp; Access switches</t>
  </si>
  <si>
    <t>JSPL Angul Allied Telesis switch_8xIE200_2xX530_34xSFP</t>
  </si>
  <si>
    <t>JSPL Angul  3 x Fortinet FG90G Firewall</t>
  </si>
  <si>
    <t>Indian School of Business</t>
  </si>
  <si>
    <t>AV refresh  for  ISB Mohali,RFP</t>
  </si>
  <si>
    <t>04/06/2026</t>
  </si>
  <si>
    <t>Topre - SOC Services</t>
  </si>
  <si>
    <t>05/06/2026</t>
  </si>
  <si>
    <t>NMS (Network Management System)</t>
  </si>
  <si>
    <t>08/06/2026</t>
  </si>
  <si>
    <t>International Crops Research Institute for the Semi-Arid Tropics (ICRISAT)</t>
  </si>
  <si>
    <t>Network Solution</t>
  </si>
  <si>
    <t>10/06/2026</t>
  </si>
  <si>
    <t>CARRIER GLOBAL CORPORATION</t>
  </si>
  <si>
    <t>AV _ AMC</t>
  </si>
  <si>
    <t>Access Management Systems Solution</t>
  </si>
  <si>
    <t>Shapoorji Pallonji and Company Private Limited</t>
  </si>
  <si>
    <t>DLP Sol for Shapoorji Pallonji and Company Private Limited</t>
  </si>
  <si>
    <t>Sarvatra Technologies Pvt. Ltd.</t>
  </si>
  <si>
    <t>Sarvatra - Server Req for Kerala Bank</t>
  </si>
  <si>
    <t>Noida Power Company limited</t>
  </si>
  <si>
    <t>CCTV requirement  along with centralized monitoring system</t>
  </si>
  <si>
    <t>19/02/2026</t>
  </si>
  <si>
    <t>F5 NETWORKS INC</t>
  </si>
  <si>
    <t>Avaya Licenses Subscription Renewal - AMC Renewal</t>
  </si>
  <si>
    <t>Gagan Arora</t>
  </si>
  <si>
    <t>EDUCATION CONSULTANT OF INDIA LTD</t>
  </si>
  <si>
    <t>RFP/DTU/EDCILCAMPUS LAN&amp;WIFI</t>
  </si>
  <si>
    <t>12/06/2026</t>
  </si>
  <si>
    <t>Janata Sahakari Bank Ltd</t>
  </si>
  <si>
    <t>Janata Bank - Aruba Switches</t>
  </si>
  <si>
    <t>Supreme Industries Ltd Plant D101 Jalgoan Gadegaon</t>
  </si>
  <si>
    <t>15/06/2026</t>
  </si>
  <si>
    <t>11/05/2024</t>
  </si>
  <si>
    <t>Apollo Hospitals Enterprise LTD</t>
  </si>
  <si>
    <t>MSSP Services</t>
  </si>
  <si>
    <t>Saikat Chakraborty</t>
  </si>
  <si>
    <t>National Insurance Company Limited</t>
  </si>
  <si>
    <t>RFP-RA-GeM-NIC-Kolkata-AVVC</t>
  </si>
  <si>
    <t>Digital Connexion</t>
  </si>
  <si>
    <t>BBOX RHS Service</t>
  </si>
  <si>
    <t>IP Based PA system</t>
  </si>
  <si>
    <t>Juniper MIST  Managed Service</t>
  </si>
  <si>
    <t>Nspira Management Services Pvt. Ltd</t>
  </si>
  <si>
    <t>Data Storage</t>
  </si>
  <si>
    <t>NOC services</t>
  </si>
  <si>
    <t>Sorigin Services Private Limited</t>
  </si>
  <si>
    <t>Sorigin - vCISO</t>
  </si>
  <si>
    <t>Department of Atomic Energy</t>
  </si>
  <si>
    <t>Pragati -BARC AV</t>
  </si>
  <si>
    <t>08/03/2026</t>
  </si>
  <si>
    <t>ONGC-Servers &amp; Storage RFP</t>
  </si>
  <si>
    <t>Airtel</t>
  </si>
  <si>
    <t>Airtel Singapore Network</t>
  </si>
  <si>
    <t>BEL - Videowall</t>
  </si>
  <si>
    <t>16/06/2026</t>
  </si>
  <si>
    <t>13/08/2025</t>
  </si>
  <si>
    <t>Persistent Systems Ltd</t>
  </si>
  <si>
    <t>Persistent - FMS</t>
  </si>
  <si>
    <t>ROC- Regional Command Center</t>
  </si>
  <si>
    <t>CIAM- Life Cycle management solution</t>
  </si>
  <si>
    <t>Kuehne nagel</t>
  </si>
  <si>
    <t>SCHENKER INDIA PRIVATE LIMITED</t>
  </si>
  <si>
    <t>SCHENKER INDIA PRIVATE LIMITED BGR Bhinar Site Brown Field Project</t>
  </si>
  <si>
    <t>SMS- Khurda AV</t>
  </si>
  <si>
    <t>UCO Bank</t>
  </si>
  <si>
    <t>UCO_Boardroom Solution</t>
  </si>
  <si>
    <t>17/06/2026</t>
  </si>
  <si>
    <t>13/02/2025</t>
  </si>
  <si>
    <t>Topre - Telephone Exchange system of MATRIX</t>
  </si>
  <si>
    <t>IRM Energy Limited</t>
  </si>
  <si>
    <t>IRM : ISO Certification for Cyber Security</t>
  </si>
  <si>
    <t>Havells India Ltd</t>
  </si>
  <si>
    <t>RA - alwar plant networking</t>
  </si>
  <si>
    <t>Mumbai International Airport Limited (MIAL)</t>
  </si>
  <si>
    <t>Cargo T2_AV-ATCGR</t>
  </si>
  <si>
    <t>18/06/2026</t>
  </si>
  <si>
    <t>21/08/2025</t>
  </si>
  <si>
    <t>Campus Wi Fi</t>
  </si>
  <si>
    <t>TECH MAHINDRA LIMITED</t>
  </si>
  <si>
    <t>Avaya Expansion for 200 Ext with Phones</t>
  </si>
  <si>
    <t>Bank of Maharashtra</t>
  </si>
  <si>
    <t>Tender/BoM - Motadata NCM</t>
  </si>
  <si>
    <t>Aramex India Pvt Ltd</t>
  </si>
  <si>
    <t>Aramex - Cloud Security PA</t>
  </si>
  <si>
    <t>Kajaria ceramics- CMS Solution for CCTV</t>
  </si>
  <si>
    <t>19/06/2026</t>
  </si>
  <si>
    <t>03/12/2025</t>
  </si>
  <si>
    <t>ITC Limited</t>
  </si>
  <si>
    <t>Colabration Requiremnet for ITC Hyderabad -RFP</t>
  </si>
  <si>
    <t>RVAI Global Pvt Ltd</t>
  </si>
  <si>
    <t>SuperMicro Servers_Mumbai</t>
  </si>
  <si>
    <t>RFP_Bansal Hospital_CCTV PA PSS</t>
  </si>
  <si>
    <t>IOCL, Noonmati-Services</t>
  </si>
  <si>
    <t>Card and IP phone requirement</t>
  </si>
  <si>
    <t>20/06/2026</t>
  </si>
  <si>
    <t>Lava International Limited</t>
  </si>
  <si>
    <t>Chat Bat Development</t>
  </si>
  <si>
    <t>Tamilnadu State Data Centre</t>
  </si>
  <si>
    <t>SDC Refresh</t>
  </si>
  <si>
    <t>22/06/2026</t>
  </si>
  <si>
    <t>Carrier Corporation</t>
  </si>
  <si>
    <t>Sarvatra - DAM Aurva</t>
  </si>
  <si>
    <t>Uno Minda</t>
  </si>
  <si>
    <t>Red Hat Software licence</t>
  </si>
  <si>
    <t>23/06/2026</t>
  </si>
  <si>
    <t>Larsen and Toubro Ltd</t>
  </si>
  <si>
    <t>Brila Auditorium Mumbai</t>
  </si>
  <si>
    <t>24/06/2026</t>
  </si>
  <si>
    <t>Meeting Room A-V</t>
  </si>
  <si>
    <t>09/12/2025</t>
  </si>
  <si>
    <t>Hubergroup India Pvt. Ltd.</t>
  </si>
  <si>
    <t>Huber - Wi-Fi AP Infra</t>
  </si>
  <si>
    <t>Adani Enterprises Limited</t>
  </si>
  <si>
    <t>Adani - Experience Centre, Ahmedabad</t>
  </si>
  <si>
    <t>Access Wi Fi Multi Location</t>
  </si>
  <si>
    <t>Gremeenphone</t>
  </si>
  <si>
    <t>Contact Center Upgrade -2025</t>
  </si>
  <si>
    <t>25/06/2026</t>
  </si>
  <si>
    <t>Motherson Sumi Systems Limited</t>
  </si>
  <si>
    <t>CM upgrade</t>
  </si>
  <si>
    <t>Aster Medicity</t>
  </si>
  <si>
    <t>Auditorium__AV__ Opportunity</t>
  </si>
  <si>
    <t>ATUL - FW Infra Setup (Internet and Intranet bifurcation)</t>
  </si>
  <si>
    <t>SVNIT_Switches Techrefresh</t>
  </si>
  <si>
    <t>AGC Legacy Opp</t>
  </si>
  <si>
    <t>KEI Industries</t>
  </si>
  <si>
    <t>KEI - Employee Tracking</t>
  </si>
  <si>
    <t>04/02/2026</t>
  </si>
  <si>
    <t>Brillio Technologies Private Limited</t>
  </si>
  <si>
    <t>Brillio_AV Requirements_BNG</t>
  </si>
  <si>
    <t>26/06/2026</t>
  </si>
  <si>
    <t>08/05/2025</t>
  </si>
  <si>
    <t>UCO_AV/VC</t>
  </si>
  <si>
    <t>L2 Swich_ Replacement(Huawei)_ Extreme</t>
  </si>
  <si>
    <t>KFONE</t>
  </si>
  <si>
    <t>ITC Hotels</t>
  </si>
  <si>
    <t>MTR Requirment for ITC Hotels -RFP</t>
  </si>
  <si>
    <t>Rashmi Group_ ICCC project</t>
  </si>
  <si>
    <t>Mahindra and Mahindra Limited</t>
  </si>
  <si>
    <t>M&amp;M-Risk Based Vulnerability Management</t>
  </si>
  <si>
    <t>28/06/2026</t>
  </si>
  <si>
    <t>Kapil Sethi</t>
  </si>
  <si>
    <t>Indraprastha Gas Limited</t>
  </si>
  <si>
    <t>RFP/IGL_PAM SOLUTIONS</t>
  </si>
  <si>
    <t>Multisite Deployment</t>
  </si>
  <si>
    <t>General Mills India</t>
  </si>
  <si>
    <t>GMI</t>
  </si>
  <si>
    <t>29/06/2026</t>
  </si>
  <si>
    <t>28/09/2025</t>
  </si>
  <si>
    <t>L&amp;T Mini Auditorium</t>
  </si>
  <si>
    <t>Edesh Kumar DS</t>
  </si>
  <si>
    <t>BIAL</t>
  </si>
  <si>
    <t>IT Infrastructure Security Systems (BACL)</t>
  </si>
  <si>
    <t>NTPC Ltd</t>
  </si>
  <si>
    <t>RFP/NTPC_Tech Refresh_Cyber Security Solutions</t>
  </si>
  <si>
    <t>Cloud GPU</t>
  </si>
  <si>
    <t>01/02/2026</t>
  </si>
  <si>
    <t>Kirloskar Brothers Ltd</t>
  </si>
  <si>
    <t>KEPL - Wadi</t>
  </si>
  <si>
    <t>30/06/2026</t>
  </si>
  <si>
    <t>09/11/2024</t>
  </si>
  <si>
    <t>Brillio_ New Office (ELV)_Project</t>
  </si>
  <si>
    <t>JSW  Ltd</t>
  </si>
  <si>
    <t>JSW BPSL Project</t>
  </si>
  <si>
    <t>18/05/2025</t>
  </si>
  <si>
    <t>Kajaria - new campus ELV</t>
  </si>
  <si>
    <t>Aezion Technologies Pvt Ltd</t>
  </si>
  <si>
    <t>AV Solutions</t>
  </si>
  <si>
    <t>Cochin Cancer and Research Center ( CCRC)</t>
  </si>
  <si>
    <t>Data Center</t>
  </si>
  <si>
    <t>Maharashtra State</t>
  </si>
  <si>
    <t>Maharashtra State State  Data Recovery Centre</t>
  </si>
  <si>
    <t>02/11/2025</t>
  </si>
  <si>
    <t>Taj Vivanta Chennai</t>
  </si>
  <si>
    <t>Taj Kovalam Kerala</t>
  </si>
  <si>
    <t>Emami Ltd_Meraki Wifi Expansion RO Depot</t>
  </si>
  <si>
    <t>Eureka A10 Load Balancer</t>
  </si>
  <si>
    <t>Hindustan Copper Limited</t>
  </si>
  <si>
    <t>RFP-GeM-HCL-EN</t>
  </si>
  <si>
    <t>Karnataka State Wide Area Network</t>
  </si>
  <si>
    <t>KSWAN FMS</t>
  </si>
  <si>
    <t>T Fiber A10 Networks</t>
  </si>
  <si>
    <t>Brillio_ Server Requirememt</t>
  </si>
  <si>
    <t>T Fiber IOTM</t>
  </si>
  <si>
    <t>T Fiber RedHat</t>
  </si>
  <si>
    <t>Sify Technologies Limited</t>
  </si>
  <si>
    <t>MEP DC reqmnt for Bangalore DC</t>
  </si>
  <si>
    <t>01/01/2026</t>
  </si>
  <si>
    <t>CCTV Surveillance opportunity</t>
  </si>
  <si>
    <t>DITEC, Assam</t>
  </si>
  <si>
    <t>Amtron Firewall opportunity</t>
  </si>
  <si>
    <t>NDMC Ganghor Cloud</t>
  </si>
  <si>
    <t>APSFL RedHat</t>
  </si>
  <si>
    <t>NDMC RedHat</t>
  </si>
  <si>
    <t>IP telephony for new campus</t>
  </si>
  <si>
    <t>IT CCTV Requirement [ Ranchi ]</t>
  </si>
  <si>
    <t>20/02/2026</t>
  </si>
  <si>
    <t>PDM Hospital</t>
  </si>
  <si>
    <t>PDM Hospital_Passive</t>
  </si>
  <si>
    <t>JPL Simhapuri Forti Analyzer</t>
  </si>
  <si>
    <t>Mjunction Services Limited</t>
  </si>
  <si>
    <t>MJunction Cisco Routers</t>
  </si>
  <si>
    <t>JPL Simhapuri Cisco C9200L Switches &amp; SFP</t>
  </si>
  <si>
    <t>SBI ROC Discplays</t>
  </si>
  <si>
    <t>TCS Corporate Subscription</t>
  </si>
  <si>
    <t>SBI Foreign Office AV</t>
  </si>
  <si>
    <t>SIES College</t>
  </si>
  <si>
    <t>CoE for AI and Smart Classroom designing</t>
  </si>
  <si>
    <t>Dhunseri Poly Films Pvt Ltd</t>
  </si>
  <si>
    <t>Dhunseri Poly Jammu Plant Networking</t>
  </si>
  <si>
    <t>Eveready Lucknow AV VC</t>
  </si>
  <si>
    <t>JMS Mining Services Pvt Ltd</t>
  </si>
  <si>
    <t>JMS Mining Command &amp; Control Centre</t>
  </si>
  <si>
    <t>Voltas CtrlS DC-8&amp;9</t>
  </si>
  <si>
    <t>Zee Entertainment Enterprises Limited</t>
  </si>
  <si>
    <t>ZEE multilocation AV setup</t>
  </si>
  <si>
    <t>Indian Army UNMS</t>
  </si>
  <si>
    <t>JSPL Angul Palo Alto Firewall Subscription</t>
  </si>
  <si>
    <t>JSPL Angul C9300-NM-8X Module &amp; C9200L-24P-4G-E switches</t>
  </si>
  <si>
    <t>JSPL Angul Allied Telesis switches - 7 x AT X530 + 10 x IE220 + 20 x AT SPLX 10</t>
  </si>
  <si>
    <t>Larsen &amp; Toubro Ltd</t>
  </si>
  <si>
    <t>L&amp;T RBU</t>
  </si>
  <si>
    <t>02/07/2026</t>
  </si>
  <si>
    <t>CMRL</t>
  </si>
  <si>
    <t>SIEM</t>
  </si>
  <si>
    <t>08/07/2026</t>
  </si>
  <si>
    <t>L&amp;T O&amp;M Works - T-Fiber Project</t>
  </si>
  <si>
    <t>CISCO_Opportunity__End__user</t>
  </si>
  <si>
    <t>10/07/2026</t>
  </si>
  <si>
    <t>Digital Signage _ Solution</t>
  </si>
  <si>
    <t>Innova Solutions</t>
  </si>
  <si>
    <t>IT Help Desk Automation</t>
  </si>
  <si>
    <t>Tender+RA-SDWAN</t>
  </si>
  <si>
    <t>14/07/2026</t>
  </si>
  <si>
    <t>Siemens _ Pune Metro _ Dell Server</t>
  </si>
  <si>
    <t>15/07/2026</t>
  </si>
  <si>
    <t>CISCO_NETWORKING_OPP_ENDUSER</t>
  </si>
  <si>
    <t>Christian Medical College</t>
  </si>
  <si>
    <t>Christian Medical College - Project( Kalpataru)</t>
  </si>
  <si>
    <t>Sarvatra - WAF Radware</t>
  </si>
  <si>
    <t>Sarvatra - XDR</t>
  </si>
  <si>
    <t>ATUL - NOC Services</t>
  </si>
  <si>
    <t>GMR Airports Developers Limited</t>
  </si>
  <si>
    <t>RA - RFP -GVIAL - HDF IT</t>
  </si>
  <si>
    <t>Janaseva - DDos, WAF, IDS, IPS</t>
  </si>
  <si>
    <t>30/03/2026</t>
  </si>
  <si>
    <t>Dutch Bangla Bank PLC</t>
  </si>
  <si>
    <t>Contact Center RFP 2026-DBBL</t>
  </si>
  <si>
    <t>RE for airtel</t>
  </si>
  <si>
    <t>16/07/2026</t>
  </si>
  <si>
    <t>RA -Audi Upgrade</t>
  </si>
  <si>
    <t>IoT solution for their plant mainly fuel management</t>
  </si>
  <si>
    <t>ALLISON TRANSMISSION INDIA PRIVATE LIMITED</t>
  </si>
  <si>
    <t>New Warehouse Cisco</t>
  </si>
  <si>
    <t>Kochi - Metro IT Infra</t>
  </si>
  <si>
    <t>3M India Ltd</t>
  </si>
  <si>
    <t>3M_Call Billing Solution</t>
  </si>
  <si>
    <t>17/07/2026</t>
  </si>
  <si>
    <t>08/08/2025</t>
  </si>
  <si>
    <t>RFP/Gail_DC Lift &amp; Shift</t>
  </si>
  <si>
    <t>Vikram Solar_ELV</t>
  </si>
  <si>
    <t>Janata - Juniper FW AMC</t>
  </si>
  <si>
    <t>18/07/2026</t>
  </si>
  <si>
    <t>27/02/2026</t>
  </si>
  <si>
    <t>Karur Vysya Bank Ltd</t>
  </si>
  <si>
    <t>SIEM SOC Solution</t>
  </si>
  <si>
    <t>20/07/2026</t>
  </si>
  <si>
    <t>Supreema AMC</t>
  </si>
  <si>
    <t>APNRT Icon Tower, Amaravathi- FAPA Works</t>
  </si>
  <si>
    <t>02/03/2026</t>
  </si>
  <si>
    <t>Network Refresh_Chennai_ Aruba</t>
  </si>
  <si>
    <t>21/07/2026</t>
  </si>
  <si>
    <t>Tender+RA-BYPL_Switches</t>
  </si>
  <si>
    <t>Cholamandalam Investment &amp; Finance Company Ltd</t>
  </si>
  <si>
    <t>Chola-Managed SOC</t>
  </si>
  <si>
    <t>22/07/2026</t>
  </si>
  <si>
    <t>Quest Global</t>
  </si>
  <si>
    <t>SIEM Tool &amp; Services</t>
  </si>
  <si>
    <t>Juniper AMC</t>
  </si>
  <si>
    <t>AV OPP__Bangalore__S</t>
  </si>
  <si>
    <t>raddisson Hotel</t>
  </si>
  <si>
    <t>RFP - ELV Upgrade</t>
  </si>
  <si>
    <t>Adani - Hospital Infra Solutions, Ahmedabad</t>
  </si>
  <si>
    <t>BEL- HLS - Security Surveillance System- extreme network</t>
  </si>
  <si>
    <t>TDS Lithium-Ion Battery Gujarat Private Limited</t>
  </si>
  <si>
    <t>TDSG - Voice Solution Techreferesh</t>
  </si>
  <si>
    <t>23/07/2026</t>
  </si>
  <si>
    <t>Campus Passive work</t>
  </si>
  <si>
    <t>KEI - ELV Infra Solution for the Sanand Plant</t>
  </si>
  <si>
    <t>AVAYA Upgrade</t>
  </si>
  <si>
    <t>24/07/2026</t>
  </si>
  <si>
    <t>Oil and Natural Gas Corporation Limited (ONGC)</t>
  </si>
  <si>
    <t>RFP/ONGC_AV Board Room Solution for ONGC DUB &amp; Scope Minar</t>
  </si>
  <si>
    <t>ADP _ AV Project for New Facility</t>
  </si>
  <si>
    <t>27/07/2026</t>
  </si>
  <si>
    <t>Think Gas Distribution Pvt Ltd</t>
  </si>
  <si>
    <t>FMS service for Think Gas</t>
  </si>
  <si>
    <t>28/07/2026</t>
  </si>
  <si>
    <t>04/07/2025</t>
  </si>
  <si>
    <t>networking requirement for new plant</t>
  </si>
  <si>
    <t>10/03/2026</t>
  </si>
  <si>
    <t>AV__Opportunity___Collector offices</t>
  </si>
  <si>
    <t>29/07/2026</t>
  </si>
  <si>
    <t>Innoviti Technologies Pvt Ltd</t>
  </si>
  <si>
    <t>Fortigate Renewal</t>
  </si>
  <si>
    <t>30/07/2026</t>
  </si>
  <si>
    <t>03/02/2025</t>
  </si>
  <si>
    <t>Immersive Experience &amp; Command Centre</t>
  </si>
  <si>
    <t>NERIST-Services</t>
  </si>
  <si>
    <t>Line card requirements for Avaya EPBX</t>
  </si>
  <si>
    <t>Diageo India</t>
  </si>
  <si>
    <t>IT Network Refresh</t>
  </si>
  <si>
    <t>DRDO Center for Airbourne Space</t>
  </si>
  <si>
    <t>Asset Tracking Solution</t>
  </si>
  <si>
    <t>New Data Centre</t>
  </si>
  <si>
    <t>Airtel Africa NOC services</t>
  </si>
  <si>
    <t>Tezpur University</t>
  </si>
  <si>
    <t>Smart Classroom Opportunity</t>
  </si>
  <si>
    <t>IP PBX opportunity at NRL LPG Plant through M/s Thermax</t>
  </si>
  <si>
    <t>RFP/IGL_Firewall SolutIons</t>
  </si>
  <si>
    <t>Airtel Polycom for Singapore</t>
  </si>
  <si>
    <t>RFP/IGL_Contact Centre Solutions</t>
  </si>
  <si>
    <t>15/03/2026</t>
  </si>
  <si>
    <t>IIT Kharagpur</t>
  </si>
  <si>
    <t>RFP-IIT Kharagpur-EN</t>
  </si>
  <si>
    <t>AEGCL - ISO Audit Opportunity</t>
  </si>
  <si>
    <t>Godrej &amp; Boyce Ltd.</t>
  </si>
  <si>
    <t>Godrej Vikroli &amp; Khalapur</t>
  </si>
  <si>
    <t>31/07/2026</t>
  </si>
  <si>
    <t>07/10/2024</t>
  </si>
  <si>
    <t>PERFETTI VAN MELLE INDIA PVT. LTD.</t>
  </si>
  <si>
    <t>Citigroup Florence 3rd Floor ( Perfetti)</t>
  </si>
  <si>
    <t>Happiest Minds Technologies</t>
  </si>
  <si>
    <t>Happiest Minds_UC&amp;CC</t>
  </si>
  <si>
    <t>Checkpoint _Firewall</t>
  </si>
  <si>
    <t>DCIM / ICCC implementation in NDC Airoli &amp; MTX sites</t>
  </si>
  <si>
    <t>Hitachi Energy_ Project</t>
  </si>
  <si>
    <t>IOCL-Paradip</t>
  </si>
  <si>
    <t>RFP-GeM-IOCL-Paradip-Voice</t>
  </si>
  <si>
    <t>Taj Wellington Mumbai</t>
  </si>
  <si>
    <t>Rourkela Steel Plant</t>
  </si>
  <si>
    <t>RFP-RA-RSP-CCTV</t>
  </si>
  <si>
    <t>Cummins deal</t>
  </si>
  <si>
    <t>Bosch_VMS _SW_China</t>
  </si>
  <si>
    <t>RA + RFP - addon cabling</t>
  </si>
  <si>
    <t>IOCL-SSPL-CCTV-Voice</t>
  </si>
  <si>
    <t>INTERCONTINENTAL EXCHANGE INC</t>
  </si>
  <si>
    <t>Juniper drop ship</t>
  </si>
  <si>
    <t>Mahindra Developers Ltd</t>
  </si>
  <si>
    <t>Mahindra Lifespaces- Bangalore Project(Kalpataru)</t>
  </si>
  <si>
    <t>Aura_ Class Solutions_550 Classroom</t>
  </si>
  <si>
    <t>PDM Hospital Active Networking</t>
  </si>
  <si>
    <t>PDM Hospital_AV VC</t>
  </si>
  <si>
    <t>Devraj Institute of Medical Science</t>
  </si>
  <si>
    <t>RFP/DIMS_ELV Solutions</t>
  </si>
  <si>
    <t>Metropolitian Stock exchange</t>
  </si>
  <si>
    <t>MSE - IP Telephony</t>
  </si>
  <si>
    <t>ZTNA</t>
  </si>
  <si>
    <t>10/08/2026</t>
  </si>
  <si>
    <t>Sarvatra - SD WAN</t>
  </si>
  <si>
    <t>Tata Technologies Ltd</t>
  </si>
  <si>
    <t>RFP/TTL - Network Infra Revamp</t>
  </si>
  <si>
    <t>Data security posture management and Data Activity Monitoring system requirement</t>
  </si>
  <si>
    <t>Sarvatra - Cisco Routers</t>
  </si>
  <si>
    <t>12/08/2026</t>
  </si>
  <si>
    <t>Aramex - WAF Imperva</t>
  </si>
  <si>
    <t>Savitribai Phule Pune University</t>
  </si>
  <si>
    <t>Tender_Pune University_Wifi</t>
  </si>
  <si>
    <t>13/08/2026</t>
  </si>
  <si>
    <t>GAIL TRAINING Institute</t>
  </si>
  <si>
    <t>RFP/Gail Training Institute_AV Solutions</t>
  </si>
  <si>
    <t>18/08/2026</t>
  </si>
  <si>
    <t>Bajaj Finserv</t>
  </si>
  <si>
    <t>RFP/Bajaj Finserv - Active/Passive Consulting</t>
  </si>
  <si>
    <t>RFP+ RA-BRPL- Scada Switches</t>
  </si>
  <si>
    <t>BEL - AIMS DELHI</t>
  </si>
  <si>
    <t>19/08/2026</t>
  </si>
  <si>
    <t>04/03/2025</t>
  </si>
  <si>
    <t>AGS Health Private Limited</t>
  </si>
  <si>
    <t>Training rooms AV solution</t>
  </si>
  <si>
    <t>Landside- 95 seater</t>
  </si>
  <si>
    <t>Panasonic India Pvt. Ltd.</t>
  </si>
  <si>
    <t>Pam solution-Cyberark</t>
  </si>
  <si>
    <t>IIM Ahmedabad</t>
  </si>
  <si>
    <t>IIM-A_ AV Infra Upgradation for 3 Board Rooms</t>
  </si>
  <si>
    <t>20/08/2026</t>
  </si>
  <si>
    <t>SBI ROC New Videowall Setup</t>
  </si>
  <si>
    <t>UST GLOBAL</t>
  </si>
  <si>
    <t>AV Opportuity</t>
  </si>
  <si>
    <t>Star Health-ELV-Fire alarm</t>
  </si>
  <si>
    <t>24/08/2026</t>
  </si>
  <si>
    <t>Indian Overseas Bank</t>
  </si>
  <si>
    <t>VC Refresh</t>
  </si>
  <si>
    <t>RFP/Gail_NMS &amp; Patch Management Solutions</t>
  </si>
  <si>
    <t>ONGC VIDESH LTD</t>
  </si>
  <si>
    <t>RFP/OVL_Cyber Security Solutions Services</t>
  </si>
  <si>
    <t>25/08/2026</t>
  </si>
  <si>
    <t>New Facility</t>
  </si>
  <si>
    <t>VIL- CCTV and Access - 40 locations</t>
  </si>
  <si>
    <t>26/08/2026</t>
  </si>
  <si>
    <t>IRM : Fleet Management (IoT)</t>
  </si>
  <si>
    <t>Meril - Extreme NMS License 100nos.</t>
  </si>
  <si>
    <t>T5 Juniper Order</t>
  </si>
  <si>
    <t>Topre - HPE Servers</t>
  </si>
  <si>
    <t>Data Centre</t>
  </si>
  <si>
    <t>27/08/2026</t>
  </si>
  <si>
    <t>RV University</t>
  </si>
  <si>
    <t>IT Networking Monitoring Solutions (NMS)</t>
  </si>
  <si>
    <t>28/08/2026</t>
  </si>
  <si>
    <t>RFP/NTPC_IPPBX</t>
  </si>
  <si>
    <t>CtrLS-DC 10&amp;11</t>
  </si>
  <si>
    <t>Supreme Industries Ltd Plant Sangli</t>
  </si>
  <si>
    <t>30/08/2026</t>
  </si>
  <si>
    <t>15/01/2025</t>
  </si>
  <si>
    <t>Blue Dart Ltd</t>
  </si>
  <si>
    <t>BlueDart-Voice bot solution</t>
  </si>
  <si>
    <t>01/11/2025</t>
  </si>
  <si>
    <t>RFP/NTPC_EDR Solutions</t>
  </si>
  <si>
    <t>Essar Bulk Terminal (Salaya) Limited</t>
  </si>
  <si>
    <t>EBTSL</t>
  </si>
  <si>
    <t>Roberto Bernstein</t>
  </si>
  <si>
    <t>026295 - HITACHI - PARQUES EÓLICOS - EQUIPAMENTOS DE VOZ</t>
  </si>
  <si>
    <t>31/08/2026</t>
  </si>
  <si>
    <t>27/11/2025</t>
  </si>
  <si>
    <t>WEBEL</t>
  </si>
  <si>
    <t>RFP-Webel-CCTNS Firewall</t>
  </si>
  <si>
    <t>National Institute of Science Education and Research Bhubaneswar</t>
  </si>
  <si>
    <t>RFP-NISER-Campus Networking</t>
  </si>
  <si>
    <t>Odisha Mining Corporation Limited (OMC)</t>
  </si>
  <si>
    <t>RFP-RA-OMC-CCTV</t>
  </si>
  <si>
    <t>Adani - Education Centre Solutions, Nagpur</t>
  </si>
  <si>
    <t>Qualcomm India Pvt Ltd</t>
  </si>
  <si>
    <t>Qualcomm _ELV, PAS _Project( Shapoorji )</t>
  </si>
  <si>
    <t>RFP-IIT Kharagpur-AVVC</t>
  </si>
  <si>
    <t>22/02/2026</t>
  </si>
  <si>
    <t>Falcon Infosystems</t>
  </si>
  <si>
    <t>Falcon_IIMC JNU_PBX</t>
  </si>
  <si>
    <t>Falcon_Runway_PBX</t>
  </si>
  <si>
    <t>Falcon_Ratan Tata Bhavan_PBX</t>
  </si>
  <si>
    <t>IIT Mumbai</t>
  </si>
  <si>
    <t>RFP- IIT- AV</t>
  </si>
  <si>
    <t>RFP-Poly CVI opprtunity</t>
  </si>
  <si>
    <t>SIDBI</t>
  </si>
  <si>
    <t>Networking-Switching</t>
  </si>
  <si>
    <t>07/09/2026</t>
  </si>
  <si>
    <t>High Energy Materials Research Laboratory</t>
  </si>
  <si>
    <t>Tender_HEMRL_Passive Refresh</t>
  </si>
  <si>
    <t>10/09/2026</t>
  </si>
  <si>
    <t>Airtel DDP</t>
  </si>
  <si>
    <t>15/09/2026</t>
  </si>
  <si>
    <t>TDSG - SOC Services</t>
  </si>
  <si>
    <t>Aramex - API Security</t>
  </si>
  <si>
    <t>BEL - Ammunition</t>
  </si>
  <si>
    <t>16/09/2026</t>
  </si>
  <si>
    <t>Branch Router Refresh.</t>
  </si>
  <si>
    <t>DC Build</t>
  </si>
  <si>
    <t>22/09/2026</t>
  </si>
  <si>
    <t>SVNIT_Active Wifi for Guest House</t>
  </si>
  <si>
    <t>eInfochips - An ARROW Company</t>
  </si>
  <si>
    <t>Einfochip - Network Infra for Office Expansion</t>
  </si>
  <si>
    <t>23/09/2026</t>
  </si>
  <si>
    <t>Dayananda Sagar University</t>
  </si>
  <si>
    <t>New OT Security Lab</t>
  </si>
  <si>
    <t>25/09/2026</t>
  </si>
  <si>
    <t>Narayana Health</t>
  </si>
  <si>
    <t>ELV &amp; Building Management Systems</t>
  </si>
  <si>
    <t>28/09/2026</t>
  </si>
  <si>
    <t>RFP/OPEX/ONGC_CAMPUS LAN_WIFI</t>
  </si>
  <si>
    <t>29/09/2026</t>
  </si>
  <si>
    <t>Resmed India Pvt Ltd</t>
  </si>
  <si>
    <t>Resmed_AV Solution_Bangalore</t>
  </si>
  <si>
    <t>30/09/2026</t>
  </si>
  <si>
    <t>08/11/2024</t>
  </si>
  <si>
    <t>Maharashtra Industrial Development Corporation (MIDC)</t>
  </si>
  <si>
    <t>MIDC SD WAN</t>
  </si>
  <si>
    <t>Darryl Wassell</t>
  </si>
  <si>
    <t>Rajat Verma</t>
  </si>
  <si>
    <t>CBRE EMEA</t>
  </si>
  <si>
    <t>Dreamspace - Wadala Medical Institute</t>
  </si>
  <si>
    <t>08/09/2025</t>
  </si>
  <si>
    <t>NIMHANS</t>
  </si>
  <si>
    <t>CCTV Survelence</t>
  </si>
  <si>
    <t>JSS University</t>
  </si>
  <si>
    <t>JSS University  - Green Field project- Networking</t>
  </si>
  <si>
    <t>SAIL-Durgapur Steel Plant</t>
  </si>
  <si>
    <t>RFP-RA-DSP-Plant Networking</t>
  </si>
  <si>
    <t>Metro Railway Kolkata</t>
  </si>
  <si>
    <t>RFP-RA-Metro Railway-Kolkata-Rail Net Infrastructure</t>
  </si>
  <si>
    <t>India Autism Centre</t>
  </si>
  <si>
    <t>India Autism Centre New Campus IT &amp; ELV Infra</t>
  </si>
  <si>
    <t>TATA CAPITAL LTD</t>
  </si>
  <si>
    <t>Tata Capital - Revamp</t>
  </si>
  <si>
    <t>NISM</t>
  </si>
  <si>
    <t>RFP NISM Server _Cybersec_AV</t>
  </si>
  <si>
    <t>Blue Star Limited</t>
  </si>
  <si>
    <t>Bluestar_ ELV_ IVC Expansion_ BNG_ Project</t>
  </si>
  <si>
    <t>JSS University - Greenfield - AV</t>
  </si>
  <si>
    <t>JSS University - Green Field project -  ELV</t>
  </si>
  <si>
    <t>JSS university - Greenfield Project - Server</t>
  </si>
  <si>
    <t>Novac-Chairman Office AV solution</t>
  </si>
  <si>
    <t>12/10/2026</t>
  </si>
  <si>
    <t>SOC</t>
  </si>
  <si>
    <t>DC-ACI-Switching</t>
  </si>
  <si>
    <t>Uno Minda-new site</t>
  </si>
  <si>
    <t>13/10/2026</t>
  </si>
  <si>
    <t>AstraZeneca</t>
  </si>
  <si>
    <t>Juniper Wi Fi Access Points</t>
  </si>
  <si>
    <t>14/10/2026</t>
  </si>
  <si>
    <t>road expansion</t>
  </si>
  <si>
    <t>15/10/2026</t>
  </si>
  <si>
    <t>Maharashtra State Electricity Distribution Co. Ltd</t>
  </si>
  <si>
    <t>MSEDCL IOT Case</t>
  </si>
  <si>
    <t>ELV For New Corporate office</t>
  </si>
  <si>
    <t>16/10/2026</t>
  </si>
  <si>
    <t>Tamilnadu Mercantile Bank LTD</t>
  </si>
  <si>
    <t>PKI Solution</t>
  </si>
  <si>
    <t>19/10/2026</t>
  </si>
  <si>
    <t>BSES DT CCTV (10 Pilot Locations)</t>
  </si>
  <si>
    <t>RFP/IGL_Networking Solutions_DC Networks</t>
  </si>
  <si>
    <t>20/10/2026</t>
  </si>
  <si>
    <t>MSIL - 1500nos. MATRIX make CCTV Supply</t>
  </si>
  <si>
    <t>ONGC - Voice Solution Tech refresh</t>
  </si>
  <si>
    <t>21/10/2026</t>
  </si>
  <si>
    <t>Avaya Upgrade and Phones</t>
  </si>
  <si>
    <t>Meril - SOC Services</t>
  </si>
  <si>
    <t>Tender + RA-BRPL- ITSM</t>
  </si>
  <si>
    <t>RA -10 sites upgrade</t>
  </si>
  <si>
    <t>22/10/2026</t>
  </si>
  <si>
    <t>RFP+ RA -new site</t>
  </si>
  <si>
    <t>RFP + RA -new site</t>
  </si>
  <si>
    <t>RA + RFP new site -AV</t>
  </si>
  <si>
    <t>WeWorks India</t>
  </si>
  <si>
    <t>New GCC (Bangalore)</t>
  </si>
  <si>
    <t>30/10/2026</t>
  </si>
  <si>
    <t>Tender+ RA- BRPL- Vmware replacement</t>
  </si>
  <si>
    <t>18/11/2026</t>
  </si>
  <si>
    <t>NOC</t>
  </si>
  <si>
    <t>23/11/2026</t>
  </si>
  <si>
    <t>ATUL - NW Infra for ECO hub Warehouse</t>
  </si>
  <si>
    <t>25/11/2026</t>
  </si>
  <si>
    <t>Tamilnadu Co-operative Milk Producers’ Federation Limited</t>
  </si>
  <si>
    <t>Network Upgrade and Refresh</t>
  </si>
  <si>
    <t>26/11/2026</t>
  </si>
  <si>
    <t>TNREGINET</t>
  </si>
  <si>
    <t>Network Refresh and Upgrade</t>
  </si>
  <si>
    <t>Emami AKST Network Refresh</t>
  </si>
  <si>
    <t>30/11/2026</t>
  </si>
  <si>
    <t>Access layer in RoN of CEN Network</t>
  </si>
  <si>
    <t>Ford India Ltd</t>
  </si>
  <si>
    <t>Ford-AV</t>
  </si>
  <si>
    <t>21/12/2026</t>
  </si>
  <si>
    <t>Phase 2 Network Refresh</t>
  </si>
  <si>
    <t>25/12/2026</t>
  </si>
  <si>
    <t>Netaji Subhash Univ of Technology</t>
  </si>
  <si>
    <t>RFP/NSUT_Campus_LAN_WIFI</t>
  </si>
  <si>
    <t>27/12/2026</t>
  </si>
  <si>
    <t>NATIONAL HOUSING BANK</t>
  </si>
  <si>
    <t>RFP/NHB_Video Conferencing Solutions</t>
  </si>
  <si>
    <t>29/12/2026</t>
  </si>
  <si>
    <t>Munish Raina</t>
  </si>
  <si>
    <t>SIEMENS AG</t>
  </si>
  <si>
    <t>Siemens Healthcare</t>
  </si>
  <si>
    <t>Internet Core Infra</t>
  </si>
  <si>
    <t>NHB_ITSM Tool</t>
  </si>
  <si>
    <t>30/12/2026</t>
  </si>
  <si>
    <t>RFP/NHB_IT_FMS Services</t>
  </si>
  <si>
    <t>Resmed_AV Solution_Chennai</t>
  </si>
  <si>
    <t>31/12/2026</t>
  </si>
  <si>
    <t>just dial</t>
  </si>
  <si>
    <t>Avaya CC Upgrade</t>
  </si>
  <si>
    <t>RFP-Webel-WB Fire Department-Kolkata</t>
  </si>
  <si>
    <t>Prestige Raintree Park</t>
  </si>
  <si>
    <t>Prestige Raintree- Bangalore Project( Kalpataru)</t>
  </si>
  <si>
    <t>Tamil Nadu Skill Development Corporation</t>
  </si>
  <si>
    <t>DC Upgrade</t>
  </si>
  <si>
    <t>20/01/2027</t>
  </si>
  <si>
    <t>RFP-RA-RSP-Videowall</t>
  </si>
  <si>
    <t>31/01/2027</t>
  </si>
  <si>
    <t>Indorama Ventures IVRS Nigeria Network Infra</t>
  </si>
  <si>
    <t>T6 Juniper Order</t>
  </si>
  <si>
    <t>17/02/2027</t>
  </si>
  <si>
    <t>Tender_HEMRL_CCTV</t>
  </si>
  <si>
    <t>19/02/2027</t>
  </si>
  <si>
    <t>Tender_HEMRL_Network Refresh</t>
  </si>
  <si>
    <t>26/03/2027</t>
  </si>
  <si>
    <t>Real-Time Math: The system calculates margins (Gross Margin, Product Margin, Service Margin) instantly as numbers are typed.</t>
  </si>
  <si>
    <t>The "Input Data" Workflow</t>
  </si>
  <si>
    <t>Bid Values: Breaking down the total amount into Product, Service, AMC, and Other values.</t>
  </si>
  <si>
    <t>Product Value (INR)</t>
  </si>
  <si>
    <t>Payment Terms: Manually specifying customer and vendor payment conditions.</t>
  </si>
  <si>
    <t>Service Value (INR)</t>
  </si>
  <si>
    <t>Cust. Payment</t>
  </si>
  <si>
    <t>version v</t>
  </si>
  <si>
    <t>progress</t>
  </si>
  <si>
    <t>AMC Value (INR)</t>
  </si>
  <si>
    <t>Vend. Payment</t>
  </si>
  <si>
    <t xml:space="preserve">
</t>
  </si>
  <si>
    <t>auto Versioning: It increments the version (e.g., v1 → v2).</t>
  </si>
  <si>
    <t>Others (INR)</t>
  </si>
  <si>
    <t>Total Bid (INR)</t>
  </si>
  <si>
    <t>Costs &amp; Margins: Entering the associated costs (Internal, External Service, etc.).</t>
  </si>
  <si>
    <t>Product Cost (INR</t>
  </si>
  <si>
    <t>Ext. Service (INR)</t>
  </si>
  <si>
    <t>Internal Cost (INR)</t>
  </si>
  <si>
    <t>Others Cost (INR)</t>
  </si>
  <si>
    <t>Total Cost (INR)</t>
  </si>
  <si>
    <t>module id</t>
  </si>
  <si>
    <t>name</t>
  </si>
  <si>
    <t>is_Active</t>
  </si>
  <si>
    <t>Created_at</t>
  </si>
  <si>
    <t>salesflow</t>
  </si>
  <si>
    <t>OrderProcessing</t>
  </si>
  <si>
    <t xml:space="preserve">id </t>
  </si>
  <si>
    <t xml:space="preserve">Role </t>
  </si>
  <si>
    <t>sales</t>
  </si>
  <si>
    <t>Reviewer</t>
  </si>
  <si>
    <t>Finance</t>
  </si>
  <si>
    <t>legal</t>
  </si>
  <si>
    <t>Buisness head</t>
  </si>
  <si>
    <t>SCM</t>
  </si>
  <si>
    <t xml:space="preserve">Service Delivery </t>
  </si>
  <si>
    <t>Pre sales</t>
  </si>
  <si>
    <t xml:space="preserve">CC manager </t>
  </si>
  <si>
    <t>user_id</t>
  </si>
  <si>
    <t xml:space="preserve">user name </t>
  </si>
  <si>
    <t>email</t>
  </si>
  <si>
    <t>auth_mode</t>
  </si>
  <si>
    <t>Password_hash</t>
  </si>
  <si>
    <t>userAlias</t>
  </si>
  <si>
    <t>is_active</t>
  </si>
  <si>
    <t>Updated_at</t>
  </si>
  <si>
    <t>Create_by</t>
  </si>
  <si>
    <t>Updated_by</t>
  </si>
  <si>
    <t>khushi</t>
  </si>
  <si>
    <t>Surya@gmail.com</t>
  </si>
  <si>
    <t>local</t>
  </si>
  <si>
    <t>jehd76ye</t>
  </si>
  <si>
    <t>ksuryavanshi</t>
  </si>
  <si>
    <t xml:space="preserve">om </t>
  </si>
  <si>
    <t>om@gmail.com</t>
  </si>
  <si>
    <t>AD</t>
  </si>
  <si>
    <t>8378]]]shfdn</t>
  </si>
  <si>
    <t>osuryavanshi</t>
  </si>
  <si>
    <t>deals</t>
  </si>
  <si>
    <t>id</t>
  </si>
  <si>
    <t>opportunity_number</t>
  </si>
  <si>
    <t xml:space="preserve"> latest_version_id</t>
  </si>
  <si>
    <t xml:space="preserve"> OPP-2024-001</t>
  </si>
  <si>
    <t xml:space="preserve"> deal_versions</t>
  </si>
  <si>
    <t>deal_id</t>
  </si>
  <si>
    <t xml:space="preserve"> version_number</t>
  </si>
  <si>
    <t>account_name</t>
  </si>
  <si>
    <t>opportunity_name</t>
  </si>
  <si>
    <t>amount</t>
  </si>
  <si>
    <t>currency</t>
  </si>
  <si>
    <t>stage</t>
  </si>
  <si>
    <t>status</t>
  </si>
  <si>
    <t>created_by</t>
  </si>
  <si>
    <t xml:space="preserve"> Global Tech Corp</t>
  </si>
  <si>
    <t>Cloud Analytics</t>
  </si>
  <si>
    <t>Stage 4</t>
  </si>
  <si>
    <t>Pending Input</t>
  </si>
  <si>
    <t>Global Tech Corp</t>
  </si>
  <si>
    <t>Stage 5</t>
  </si>
  <si>
    <t>Completed</t>
  </si>
  <si>
    <t>Deal_enrichment for version 2</t>
  </si>
  <si>
    <t>version_id</t>
  </si>
  <si>
    <t>product_value</t>
  </si>
  <si>
    <t xml:space="preserve"> service_value</t>
  </si>
  <si>
    <t>product_cost</t>
  </si>
  <si>
    <t>total_bid_value</t>
  </si>
  <si>
    <t xml:space="preserve"> gross_margin</t>
  </si>
  <si>
    <t xml:space="preserve"> customer_payment_term</t>
  </si>
  <si>
    <t xml:space="preserve"> 30 Days Net</t>
  </si>
  <si>
    <t>version_approvals</t>
  </si>
  <si>
    <t>department_id</t>
  </si>
  <si>
    <t>is_required</t>
  </si>
  <si>
    <t xml:space="preserve"> approver_id</t>
  </si>
  <si>
    <t>comments</t>
  </si>
  <si>
    <t xml:space="preserve"> actioned_at</t>
  </si>
  <si>
    <t>1 (finance)</t>
  </si>
  <si>
    <t xml:space="preserve"> Approved</t>
  </si>
  <si>
    <t>High margin, approved.</t>
  </si>
  <si>
    <t>2(Legal)</t>
  </si>
  <si>
    <t xml:space="preserve">TRUE </t>
  </si>
  <si>
    <t>Approved</t>
  </si>
  <si>
    <t>good</t>
  </si>
  <si>
    <t>14-04-202415:10:00</t>
  </si>
  <si>
    <t>3(SCM)</t>
  </si>
  <si>
    <t>Level Sckiped</t>
  </si>
  <si>
    <t>NULL</t>
  </si>
  <si>
    <t>Bypassed by Reviewer.</t>
  </si>
  <si>
    <t>cc execution</t>
  </si>
  <si>
    <t>Version_id</t>
  </si>
  <si>
    <t>actual_po_value_inr</t>
  </si>
  <si>
    <t xml:space="preserve"> sap_order_number</t>
  </si>
  <si>
    <t xml:space="preserve"> customer_po_number</t>
  </si>
  <si>
    <t xml:space="preserve"> is_confirmed</t>
  </si>
  <si>
    <t>confirmed_by</t>
  </si>
  <si>
    <t>SAP-88271</t>
  </si>
  <si>
    <t>PO-CUST-009</t>
  </si>
  <si>
    <t xml:space="preserve"> TRUE</t>
  </si>
  <si>
    <t>field_name</t>
  </si>
  <si>
    <t>old_value</t>
  </si>
  <si>
    <t>new_value</t>
  </si>
  <si>
    <t>changed_at</t>
  </si>
  <si>
    <t>changed_by</t>
  </si>
  <si>
    <t>approval_status_master</t>
  </si>
  <si>
    <t>Moduleid</t>
  </si>
  <si>
    <t>Userid</t>
  </si>
  <si>
    <t>roleid</t>
  </si>
  <si>
    <t>entityid</t>
  </si>
  <si>
    <t>role</t>
  </si>
  <si>
    <t>Pending</t>
  </si>
  <si>
    <t>Rejected</t>
  </si>
  <si>
    <t>userid</t>
  </si>
  <si>
    <t>regionid</t>
  </si>
  <si>
    <t>Legal</t>
  </si>
  <si>
    <t>Business Head</t>
  </si>
  <si>
    <t>Scm</t>
  </si>
  <si>
    <t>PreSales</t>
  </si>
  <si>
    <t>CC Manager</t>
  </si>
  <si>
    <t>stage_master</t>
  </si>
  <si>
    <t>entity  name</t>
  </si>
  <si>
    <t>Businessid</t>
  </si>
  <si>
    <t>Admin</t>
  </si>
  <si>
    <t>BBL India</t>
  </si>
  <si>
    <t>Super Admin</t>
  </si>
  <si>
    <t>statusmaster</t>
  </si>
  <si>
    <t>moduleid</t>
  </si>
  <si>
    <t>BusinessName</t>
  </si>
  <si>
    <t>Pending Review</t>
  </si>
  <si>
    <t>BlackBox</t>
  </si>
  <si>
    <t>In Approval</t>
  </si>
  <si>
    <t>reginname</t>
  </si>
  <si>
    <t>Draft</t>
  </si>
  <si>
    <t xml:space="preserve"> payment_terms_master</t>
  </si>
  <si>
    <t>???</t>
  </si>
  <si>
    <t>Pending RM</t>
  </si>
  <si>
    <t>30 Days Net</t>
  </si>
  <si>
    <t>MEA</t>
  </si>
  <si>
    <t>Re-opened(to track)</t>
  </si>
  <si>
    <t>60 Days Net</t>
  </si>
  <si>
    <t>APAC</t>
  </si>
  <si>
    <t>100% Upfront</t>
  </si>
  <si>
    <t>ANZ</t>
  </si>
  <si>
    <t>Deal table</t>
  </si>
  <si>
    <t>deal_version table</t>
  </si>
  <si>
    <t>deal_status_id(fk)</t>
  </si>
  <si>
    <t xml:space="preserve"> version id</t>
  </si>
  <si>
    <t>version_number</t>
  </si>
  <si>
    <t>stage_id</t>
  </si>
  <si>
    <t>owner_id</t>
  </si>
  <si>
    <t>created_at date time</t>
  </si>
  <si>
    <t>modified by</t>
  </si>
  <si>
    <t>modifieddate</t>
  </si>
  <si>
    <t>OPP-77382-X</t>
  </si>
  <si>
    <t>Cloud Migration Alpha</t>
  </si>
  <si>
    <t>Acme Corp</t>
  </si>
  <si>
    <t>OPP-99120-Y</t>
  </si>
  <si>
    <t xml:space="preserve"> </t>
  </si>
  <si>
    <t>deal_enrichment tabe</t>
  </si>
  <si>
    <t xml:space="preserve">de_id </t>
  </si>
  <si>
    <t>service_value</t>
  </si>
  <si>
    <t>amc_value</t>
  </si>
  <si>
    <t>others_value</t>
  </si>
  <si>
    <t>external_service_cost</t>
  </si>
  <si>
    <t>internal_cost</t>
  </si>
  <si>
    <t>others_cost</t>
  </si>
  <si>
    <t>total_cost</t>
  </si>
  <si>
    <t>product_margin</t>
  </si>
  <si>
    <t>service_margin</t>
  </si>
  <si>
    <t>gross_margin</t>
  </si>
  <si>
    <t>customer_payment_term_id</t>
  </si>
  <si>
    <t>vendor_payment_term_id</t>
  </si>
  <si>
    <t>approval_workflows table</t>
  </si>
  <si>
    <t xml:space="preserve">defined_by  </t>
  </si>
  <si>
    <t>defined_at</t>
  </si>
  <si>
    <t>audit_logs table</t>
  </si>
  <si>
    <t>cc_execution table</t>
  </si>
  <si>
    <t>sap_order_number</t>
  </si>
  <si>
    <t>customer_po_number</t>
  </si>
  <si>
    <t>is_confirmed</t>
  </si>
  <si>
    <t>confirmed_at</t>
  </si>
  <si>
    <t>SAP-993882</t>
  </si>
  <si>
    <t>PO-ACME-502</t>
  </si>
  <si>
    <t>(What this row actually means)</t>
  </si>
  <si>
    <t>103 (Elena)</t>
  </si>
  <si>
    <t>1 (Order App)</t>
  </si>
  <si>
    <t>3 (Finance Approver)</t>
  </si>
  <si>
    <t>10 (North America)</t>
  </si>
  <si>
    <t>Elena is the Finance Approver for the Order App in North America.</t>
  </si>
  <si>
    <t>4 (Legal Approver)</t>
  </si>
  <si>
    <t>20 (Europe)</t>
  </si>
  <si>
    <t>But in Europe, they are short-staffed, so Elena acts as the Legal Approver there!</t>
  </si>
  <si>
    <t>2 (Inventory App)</t>
  </si>
  <si>
    <t>2 (Reviewer)</t>
  </si>
  <si>
    <t>If she switches over to the Inventory App, she only has Reviewer rights.</t>
  </si>
  <si>
    <t>approval workflow tables</t>
  </si>
  <si>
    <t>DealApprovals</t>
  </si>
  <si>
    <t>ld</t>
  </si>
  <si>
    <t xml:space="preserve">deal id </t>
  </si>
  <si>
    <t xml:space="preserve">role id </t>
  </si>
  <si>
    <t>ApprovalTasks</t>
  </si>
  <si>
    <t>role_id</t>
  </si>
  <si>
    <t>approver_id:</t>
  </si>
  <si>
    <t>approval_status_id</t>
  </si>
  <si>
    <t>timestamp</t>
  </si>
  <si>
    <t>horizontal_name (master table)</t>
  </si>
  <si>
    <t>Cloud</t>
  </si>
  <si>
    <t>Cyber</t>
  </si>
  <si>
    <t>Data Analytics</t>
  </si>
  <si>
    <t>user_access_mapping</t>
  </si>
  <si>
    <t xml:space="preserve">user id </t>
  </si>
  <si>
    <t>horizontal 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</si>
</sst>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  <numFmt numFmtId="181" formatCode="dd/mm/yyyy;@"/>
    <numFmt numFmtId="182" formatCode="dd/mm/yyyy"/>
    <numFmt numFmtId="183" formatCode="&quot;INR&quot;\ #,##0.00;&quot;INR&quot;\ \-#,##0.00"/>
    <numFmt numFmtId="184" formatCode="#,##0.000%"/>
    <numFmt numFmtId="185" formatCode="&quot;USD&quot;\ #,##0.00;&quot;USD&quot;\ \-#,##0.00"/>
  </numFmts>
  <fonts count="33">
    <font>
      <sz val="11"/>
      <color theme="1"/>
      <name val="Aptos Narrow"/>
      <charset val="134"/>
      <scheme val="minor"/>
    </font>
    <font>
      <b/>
      <sz val="14"/>
      <color theme="1"/>
      <name val="Aptos Narrow"/>
      <charset val="134"/>
      <scheme val="minor"/>
    </font>
    <font>
      <b/>
      <i/>
      <sz val="12"/>
      <color theme="1"/>
      <name val="Aptos Narrow"/>
      <charset val="134"/>
      <scheme val="minor"/>
    </font>
    <font>
      <sz val="10"/>
      <name val="Arial"/>
      <charset val="134"/>
    </font>
    <font>
      <b/>
      <i/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9.75"/>
      <color rgb="FFCCCCCC"/>
      <name val="Segoe UI"/>
      <charset val="134"/>
    </font>
    <font>
      <u/>
      <sz val="10"/>
      <color theme="10"/>
      <name val="Arial"/>
      <charset val="134"/>
    </font>
    <font>
      <b/>
      <sz val="16"/>
      <color theme="1"/>
      <name val="Aptos Narrow"/>
      <charset val="134"/>
      <scheme val="minor"/>
    </font>
    <font>
      <b/>
      <sz val="9"/>
      <color rgb="FF102A43"/>
      <name val="Arial"/>
      <charset val="134"/>
    </font>
    <font>
      <b/>
      <sz val="10"/>
      <color rgb="FF56585B"/>
      <name val="Calibri"/>
      <charset val="134"/>
    </font>
    <font>
      <sz val="10"/>
      <color rgb="FF000000"/>
      <name val="Calibri"/>
      <charset val="134"/>
    </font>
    <font>
      <sz val="10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indexed="8"/>
      <name val="Aptos Narrow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75"/>
        <bgColor indexed="64"/>
      </patternFill>
    </fill>
    <fill>
      <patternFill patternType="solid">
        <fgColor rgb="FF252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 style="medium">
        <color rgb="FFE5E7EB"/>
      </right>
      <top/>
      <bottom style="medium">
        <color rgb="FFE5E7EB"/>
      </bottom>
      <diagonal/>
    </border>
    <border>
      <left style="medium">
        <color rgb="FFE5E7EB"/>
      </left>
      <right style="medium">
        <color rgb="FFE5E7EB"/>
      </right>
      <top/>
      <bottom style="medium">
        <color rgb="FFE5E7EB"/>
      </bottom>
      <diagonal/>
    </border>
    <border>
      <left/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/>
      <right style="medium">
        <color rgb="FFE5E7EB"/>
      </right>
      <top style="medium">
        <color rgb="FFE5E7EB"/>
      </top>
      <bottom/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/>
      <diagonal/>
    </border>
    <border>
      <left style="medium">
        <color rgb="FFE5E7EB"/>
      </left>
      <right/>
      <top/>
      <bottom style="medium">
        <color rgb="FFE5E7EB"/>
      </bottom>
      <diagonal/>
    </border>
    <border>
      <left style="medium">
        <color rgb="FFE5E7EB"/>
      </left>
      <right/>
      <top style="medium">
        <color rgb="FFE5E7EB"/>
      </top>
      <bottom style="medium">
        <color rgb="FFE5E7EB"/>
      </bottom>
      <diagonal/>
    </border>
    <border>
      <left style="medium">
        <color rgb="FFE5E7EB"/>
      </left>
      <right/>
      <top style="medium">
        <color rgb="FFE5E7EB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3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15" applyNumberFormat="0" applyAlignment="0" applyProtection="0">
      <alignment vertical="center"/>
    </xf>
    <xf numFmtId="0" fontId="22" fillId="15" borderId="16" applyNumberFormat="0" applyAlignment="0" applyProtection="0">
      <alignment vertical="center"/>
    </xf>
    <xf numFmtId="0" fontId="23" fillId="15" borderId="15" applyNumberFormat="0" applyAlignment="0" applyProtection="0">
      <alignment vertical="center"/>
    </xf>
    <xf numFmtId="0" fontId="24" fillId="16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2" fillId="0" borderId="0"/>
    <xf numFmtId="0" fontId="0" fillId="0" borderId="0"/>
    <xf numFmtId="0" fontId="3" fillId="0" borderId="0"/>
  </cellStyleXfs>
  <cellXfs count="5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80" fontId="0" fillId="0" borderId="0" xfId="0" applyNumberFormat="1"/>
    <xf numFmtId="0" fontId="1" fillId="0" borderId="0" xfId="0" applyFont="1"/>
    <xf numFmtId="0" fontId="2" fillId="0" borderId="0" xfId="0" applyFont="1"/>
    <xf numFmtId="181" fontId="0" fillId="0" borderId="0" xfId="0" applyNumberFormat="1"/>
    <xf numFmtId="0" fontId="3" fillId="5" borderId="0" xfId="0" applyFont="1" applyFill="1" applyAlignment="1"/>
    <xf numFmtId="182" fontId="3" fillId="5" borderId="0" xfId="0" applyNumberFormat="1" applyFont="1" applyFill="1" applyAlignment="1"/>
    <xf numFmtId="0" fontId="0" fillId="6" borderId="0" xfId="0" applyFill="1"/>
    <xf numFmtId="0" fontId="0" fillId="7" borderId="0" xfId="0" applyFill="1"/>
    <xf numFmtId="0" fontId="3" fillId="0" borderId="0" xfId="0" applyFont="1" applyFill="1" applyAlignment="1"/>
    <xf numFmtId="0" fontId="3" fillId="0" borderId="0" xfId="51"/>
    <xf numFmtId="0" fontId="3" fillId="8" borderId="0" xfId="0" applyFont="1" applyFill="1" applyAlignment="1"/>
    <xf numFmtId="0" fontId="0" fillId="9" borderId="0" xfId="0" applyFill="1"/>
    <xf numFmtId="0" fontId="4" fillId="0" borderId="0" xfId="0" applyFont="1"/>
    <xf numFmtId="181" fontId="0" fillId="2" borderId="0" xfId="0" applyNumberFormat="1" applyFill="1"/>
    <xf numFmtId="0" fontId="5" fillId="0" borderId="0" xfId="0" applyFont="1"/>
    <xf numFmtId="0" fontId="0" fillId="8" borderId="0" xfId="0" applyFill="1"/>
    <xf numFmtId="0" fontId="5" fillId="8" borderId="0" xfId="0" applyFont="1" applyFill="1"/>
    <xf numFmtId="0" fontId="5" fillId="3" borderId="0" xfId="0" applyFont="1" applyFill="1"/>
    <xf numFmtId="3" fontId="0" fillId="3" borderId="0" xfId="0" applyNumberFormat="1" applyFill="1"/>
    <xf numFmtId="3" fontId="0" fillId="0" borderId="0" xfId="0" applyNumberFormat="1"/>
    <xf numFmtId="0" fontId="6" fillId="10" borderId="1" xfId="0" applyFont="1" applyFill="1" applyBorder="1" applyAlignment="1">
      <alignment horizontal="left" wrapText="1"/>
    </xf>
    <xf numFmtId="0" fontId="6" fillId="10" borderId="2" xfId="0" applyFont="1" applyFill="1" applyBorder="1" applyAlignment="1">
      <alignment horizontal="left" wrapText="1"/>
    </xf>
    <xf numFmtId="0" fontId="6" fillId="10" borderId="3" xfId="0" applyFont="1" applyFill="1" applyBorder="1" applyAlignment="1">
      <alignment horizontal="left" wrapText="1"/>
    </xf>
    <xf numFmtId="0" fontId="6" fillId="10" borderId="4" xfId="0" applyFont="1" applyFill="1" applyBorder="1" applyAlignment="1">
      <alignment horizontal="left" wrapText="1"/>
    </xf>
    <xf numFmtId="3" fontId="6" fillId="10" borderId="4" xfId="0" applyNumberFormat="1" applyFont="1" applyFill="1" applyBorder="1" applyAlignment="1">
      <alignment horizontal="left" wrapText="1"/>
    </xf>
    <xf numFmtId="0" fontId="6" fillId="10" borderId="5" xfId="0" applyFont="1" applyFill="1" applyBorder="1" applyAlignment="1">
      <alignment horizontal="left" wrapText="1"/>
    </xf>
    <xf numFmtId="0" fontId="6" fillId="10" borderId="6" xfId="0" applyFont="1" applyFill="1" applyBorder="1" applyAlignment="1">
      <alignment horizontal="left" wrapText="1"/>
    </xf>
    <xf numFmtId="3" fontId="0" fillId="8" borderId="0" xfId="0" applyNumberFormat="1" applyFill="1"/>
    <xf numFmtId="10" fontId="0" fillId="3" borderId="0" xfId="0" applyNumberFormat="1" applyFill="1"/>
    <xf numFmtId="180" fontId="6" fillId="0" borderId="0" xfId="0" applyNumberFormat="1" applyFont="1"/>
    <xf numFmtId="0" fontId="6" fillId="10" borderId="7" xfId="0" applyFont="1" applyFill="1" applyBorder="1" applyAlignment="1">
      <alignment horizontal="left" wrapText="1"/>
    </xf>
    <xf numFmtId="180" fontId="6" fillId="10" borderId="4" xfId="0" applyNumberFormat="1" applyFont="1" applyFill="1" applyBorder="1" applyAlignment="1">
      <alignment horizontal="left" wrapText="1"/>
    </xf>
    <xf numFmtId="0" fontId="6" fillId="10" borderId="8" xfId="0" applyFont="1" applyFill="1" applyBorder="1" applyAlignment="1">
      <alignment horizontal="left" wrapText="1"/>
    </xf>
    <xf numFmtId="180" fontId="6" fillId="10" borderId="6" xfId="0" applyNumberFormat="1" applyFont="1" applyFill="1" applyBorder="1" applyAlignment="1">
      <alignment horizontal="left" wrapText="1"/>
    </xf>
    <xf numFmtId="0" fontId="6" fillId="10" borderId="9" xfId="0" applyFont="1" applyFill="1" applyBorder="1" applyAlignment="1">
      <alignment horizontal="left" wrapText="1"/>
    </xf>
    <xf numFmtId="0" fontId="7" fillId="8" borderId="0" xfId="6" applyNumberFormat="1" applyFont="1" applyFill="1" applyBorder="1" applyAlignment="1" applyProtection="1"/>
    <xf numFmtId="0" fontId="8" fillId="0" borderId="0" xfId="0" applyFont="1"/>
    <xf numFmtId="0" fontId="9" fillId="0" borderId="0" xfId="0" applyFont="1"/>
    <xf numFmtId="0" fontId="0" fillId="0" borderId="0" xfId="0" applyAlignment="1">
      <alignment wrapText="1"/>
    </xf>
    <xf numFmtId="0" fontId="10" fillId="11" borderId="10" xfId="50" applyFont="1" applyFill="1" applyBorder="1" applyAlignment="1">
      <alignment vertical="center" wrapText="1"/>
    </xf>
    <xf numFmtId="0" fontId="10" fillId="3" borderId="11" xfId="50" applyFont="1" applyFill="1" applyBorder="1" applyAlignment="1">
      <alignment vertical="center" wrapText="1"/>
    </xf>
    <xf numFmtId="0" fontId="10" fillId="11" borderId="11" xfId="0" applyFont="1" applyFill="1" applyBorder="1" applyAlignment="1">
      <alignment vertical="center" wrapText="1"/>
    </xf>
    <xf numFmtId="0" fontId="10" fillId="3" borderId="11" xfId="49" applyFont="1" applyFill="1" applyBorder="1" applyAlignment="1">
      <alignment vertical="center" wrapText="1"/>
    </xf>
    <xf numFmtId="0" fontId="11" fillId="12" borderId="11" xfId="0" applyFont="1" applyFill="1" applyBorder="1" applyAlignment="1">
      <alignment horizontal="left"/>
    </xf>
    <xf numFmtId="0" fontId="12" fillId="0" borderId="11" xfId="0" applyFont="1" applyBorder="1"/>
    <xf numFmtId="0" fontId="11" fillId="12" borderId="11" xfId="0" applyFont="1" applyFill="1" applyBorder="1"/>
    <xf numFmtId="0" fontId="10" fillId="11" borderId="11" xfId="49" applyFont="1" applyFill="1" applyBorder="1" applyAlignment="1">
      <alignment vertical="center" wrapText="1"/>
    </xf>
    <xf numFmtId="183" fontId="11" fillId="12" borderId="11" xfId="0" applyNumberFormat="1" applyFont="1" applyFill="1" applyBorder="1" applyAlignment="1">
      <alignment horizontal="right"/>
    </xf>
    <xf numFmtId="183" fontId="12" fillId="0" borderId="11" xfId="0" applyNumberFormat="1" applyFont="1" applyBorder="1"/>
    <xf numFmtId="184" fontId="11" fillId="12" borderId="11" xfId="0" applyNumberFormat="1" applyFont="1" applyFill="1" applyBorder="1" applyAlignment="1">
      <alignment horizontal="right"/>
    </xf>
    <xf numFmtId="0" fontId="11" fillId="12" borderId="11" xfId="0" applyFont="1" applyFill="1" applyBorder="1" applyAlignment="1">
      <alignment horizontal="center"/>
    </xf>
    <xf numFmtId="185" fontId="11" fillId="12" borderId="11" xfId="0" applyNumberFormat="1" applyFont="1" applyFill="1" applyBorder="1" applyAlignment="1">
      <alignment horizontal="right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0" xfId="49"/>
    <cellStyle name="Normal 56" xfId="50"/>
    <cellStyle name="Normal 55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om@gmail.com" TargetMode="External"/><Relationship Id="rId1" Type="http://schemas.openxmlformats.org/officeDocument/2006/relationships/hyperlink" Target="mailto:Sur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567"/>
  <sheetViews>
    <sheetView tabSelected="1" workbookViewId="0">
      <selection activeCell="A6" sqref="A6:A137"/>
    </sheetView>
  </sheetViews>
  <sheetFormatPr defaultColWidth="9" defaultRowHeight="13.8"/>
  <cols>
    <col min="4" max="4" width="12.9166666666667" customWidth="1"/>
    <col min="6" max="6" width="16.4166666666667" customWidth="1"/>
    <col min="7" max="7" width="22.25" customWidth="1"/>
    <col min="11" max="11" width="17.25" customWidth="1"/>
    <col min="13" max="13" width="15.75" customWidth="1"/>
  </cols>
  <sheetData>
    <row r="1" ht="41.4" spans="1:17">
      <c r="A1" s="43" t="s">
        <v>0</v>
      </c>
      <c r="B1" s="43" t="s">
        <v>1</v>
      </c>
      <c r="C1" s="43" t="s">
        <v>2</v>
      </c>
      <c r="D1" s="44" t="s">
        <v>3</v>
      </c>
      <c r="E1" s="45" t="s">
        <v>4</v>
      </c>
      <c r="F1" s="44" t="s">
        <v>5</v>
      </c>
      <c r="G1" s="44" t="s">
        <v>6</v>
      </c>
      <c r="H1" s="46" t="s">
        <v>7</v>
      </c>
      <c r="I1" s="50" t="s">
        <v>8</v>
      </c>
      <c r="J1" s="50" t="s">
        <v>9</v>
      </c>
      <c r="K1" s="46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0" t="s">
        <v>15</v>
      </c>
      <c r="Q1" s="50" t="s">
        <v>16</v>
      </c>
    </row>
    <row r="2" hidden="1" spans="1:17">
      <c r="A2" s="47" t="s">
        <v>17</v>
      </c>
      <c r="B2" s="48" t="s">
        <v>18</v>
      </c>
      <c r="C2" s="47">
        <v>213964</v>
      </c>
      <c r="D2" s="47" t="s">
        <v>19</v>
      </c>
      <c r="E2" s="47" t="s">
        <v>20</v>
      </c>
      <c r="F2" s="49" t="s">
        <v>21</v>
      </c>
      <c r="G2" s="47" t="s">
        <v>22</v>
      </c>
      <c r="H2" s="47" t="s">
        <v>23</v>
      </c>
      <c r="I2" s="47" t="s">
        <v>24</v>
      </c>
      <c r="J2" s="47" t="s">
        <v>25</v>
      </c>
      <c r="K2" s="51">
        <v>8600000</v>
      </c>
      <c r="L2" s="47" t="s">
        <v>26</v>
      </c>
      <c r="M2" s="52">
        <f>K2</f>
        <v>8600000</v>
      </c>
      <c r="N2" s="53">
        <v>0.06977</v>
      </c>
      <c r="O2" s="47" t="s">
        <v>27</v>
      </c>
      <c r="P2" s="47" t="s">
        <v>28</v>
      </c>
      <c r="Q2" s="47" t="s">
        <v>29</v>
      </c>
    </row>
    <row r="3" hidden="1" spans="1:17">
      <c r="A3" s="47" t="s">
        <v>17</v>
      </c>
      <c r="B3" s="48" t="s">
        <v>18</v>
      </c>
      <c r="C3" s="47">
        <v>220393</v>
      </c>
      <c r="D3" s="47" t="s">
        <v>19</v>
      </c>
      <c r="E3" s="47" t="s">
        <v>20</v>
      </c>
      <c r="F3" s="49" t="s">
        <v>30</v>
      </c>
      <c r="G3" s="47" t="s">
        <v>31</v>
      </c>
      <c r="H3" s="47" t="s">
        <v>23</v>
      </c>
      <c r="I3" s="47" t="s">
        <v>24</v>
      </c>
      <c r="J3" s="47" t="s">
        <v>25</v>
      </c>
      <c r="K3" s="51">
        <v>89200000</v>
      </c>
      <c r="L3" s="47" t="s">
        <v>26</v>
      </c>
      <c r="M3" s="52">
        <f t="shared" ref="M3:M66" si="0">K3</f>
        <v>89200000</v>
      </c>
      <c r="N3" s="53">
        <v>0.04484</v>
      </c>
      <c r="O3" s="47" t="s">
        <v>27</v>
      </c>
      <c r="P3" s="47" t="s">
        <v>32</v>
      </c>
      <c r="Q3" s="47" t="s">
        <v>33</v>
      </c>
    </row>
    <row r="4" hidden="1" spans="1:17">
      <c r="A4" s="47" t="s">
        <v>17</v>
      </c>
      <c r="B4" s="48" t="s">
        <v>34</v>
      </c>
      <c r="C4" s="47">
        <v>223170</v>
      </c>
      <c r="D4" s="47" t="s">
        <v>35</v>
      </c>
      <c r="E4" s="47" t="s">
        <v>36</v>
      </c>
      <c r="F4" s="49" t="s">
        <v>37</v>
      </c>
      <c r="G4" s="47" t="s">
        <v>38</v>
      </c>
      <c r="H4" s="47" t="s">
        <v>23</v>
      </c>
      <c r="I4" s="47" t="s">
        <v>24</v>
      </c>
      <c r="J4" s="47" t="s">
        <v>25</v>
      </c>
      <c r="K4" s="51">
        <v>1500000</v>
      </c>
      <c r="L4" s="47" t="s">
        <v>26</v>
      </c>
      <c r="M4" s="52">
        <f t="shared" si="0"/>
        <v>1500000</v>
      </c>
      <c r="N4" s="53">
        <v>0.2</v>
      </c>
      <c r="O4" s="47" t="s">
        <v>27</v>
      </c>
      <c r="P4" s="47" t="s">
        <v>39</v>
      </c>
      <c r="Q4" s="47" t="s">
        <v>33</v>
      </c>
    </row>
    <row r="5" hidden="1" spans="1:17">
      <c r="A5" s="47" t="s">
        <v>17</v>
      </c>
      <c r="B5" s="48" t="s">
        <v>40</v>
      </c>
      <c r="C5" s="47">
        <v>223246</v>
      </c>
      <c r="D5" s="47" t="s">
        <v>41</v>
      </c>
      <c r="E5" s="47" t="s">
        <v>42</v>
      </c>
      <c r="F5" s="49" t="s">
        <v>43</v>
      </c>
      <c r="G5" s="47" t="s">
        <v>44</v>
      </c>
      <c r="H5" s="47" t="s">
        <v>23</v>
      </c>
      <c r="I5" s="47" t="s">
        <v>24</v>
      </c>
      <c r="J5" s="47" t="s">
        <v>45</v>
      </c>
      <c r="K5" s="51">
        <v>204117.65</v>
      </c>
      <c r="L5" s="47" t="s">
        <v>26</v>
      </c>
      <c r="M5" s="52">
        <f t="shared" si="0"/>
        <v>204117.65</v>
      </c>
      <c r="N5" s="53">
        <v>0.15</v>
      </c>
      <c r="O5" s="47" t="s">
        <v>46</v>
      </c>
      <c r="P5" s="47" t="s">
        <v>47</v>
      </c>
      <c r="Q5" s="47" t="s">
        <v>29</v>
      </c>
    </row>
    <row r="6" spans="1:17">
      <c r="A6" s="47" t="s">
        <v>17</v>
      </c>
      <c r="B6" s="48" t="s">
        <v>34</v>
      </c>
      <c r="C6" s="47">
        <v>223282</v>
      </c>
      <c r="D6" s="47" t="s">
        <v>48</v>
      </c>
      <c r="E6" s="47" t="s">
        <v>49</v>
      </c>
      <c r="F6" s="49" t="s">
        <v>50</v>
      </c>
      <c r="G6" s="47" t="s">
        <v>51</v>
      </c>
      <c r="H6" s="47" t="s">
        <v>23</v>
      </c>
      <c r="I6" s="47" t="s">
        <v>24</v>
      </c>
      <c r="J6" s="47" t="s">
        <v>25</v>
      </c>
      <c r="K6" s="51">
        <v>1083752</v>
      </c>
      <c r="L6" s="47" t="s">
        <v>26</v>
      </c>
      <c r="M6" s="52">
        <f t="shared" si="0"/>
        <v>1083752</v>
      </c>
      <c r="N6" s="53">
        <v>0.11249</v>
      </c>
      <c r="O6" s="47" t="s">
        <v>46</v>
      </c>
      <c r="P6" s="47" t="s">
        <v>52</v>
      </c>
      <c r="Q6" s="47" t="s">
        <v>33</v>
      </c>
    </row>
    <row r="7" spans="1:17">
      <c r="A7" s="47" t="s">
        <v>17</v>
      </c>
      <c r="B7" s="48" t="s">
        <v>34</v>
      </c>
      <c r="C7" s="47">
        <v>223283</v>
      </c>
      <c r="D7" s="47" t="s">
        <v>48</v>
      </c>
      <c r="E7" s="47" t="s">
        <v>49</v>
      </c>
      <c r="F7" s="49" t="s">
        <v>50</v>
      </c>
      <c r="G7" s="47" t="s">
        <v>53</v>
      </c>
      <c r="H7" s="47" t="s">
        <v>23</v>
      </c>
      <c r="I7" s="47" t="s">
        <v>24</v>
      </c>
      <c r="J7" s="47" t="s">
        <v>25</v>
      </c>
      <c r="K7" s="51">
        <v>2285047</v>
      </c>
      <c r="L7" s="47" t="s">
        <v>26</v>
      </c>
      <c r="M7" s="52">
        <f t="shared" si="0"/>
        <v>2285047</v>
      </c>
      <c r="N7" s="53">
        <v>0.1144</v>
      </c>
      <c r="O7" s="47" t="s">
        <v>46</v>
      </c>
      <c r="P7" s="47" t="s">
        <v>52</v>
      </c>
      <c r="Q7" s="47" t="s">
        <v>33</v>
      </c>
    </row>
    <row r="8" spans="1:17">
      <c r="A8" s="47" t="s">
        <v>17</v>
      </c>
      <c r="B8" s="48" t="s">
        <v>34</v>
      </c>
      <c r="C8" s="47">
        <v>223284</v>
      </c>
      <c r="D8" s="47" t="s">
        <v>48</v>
      </c>
      <c r="E8" s="47" t="s">
        <v>49</v>
      </c>
      <c r="F8" s="49" t="s">
        <v>50</v>
      </c>
      <c r="G8" s="47" t="s">
        <v>54</v>
      </c>
      <c r="H8" s="47" t="s">
        <v>23</v>
      </c>
      <c r="I8" s="47" t="s">
        <v>24</v>
      </c>
      <c r="J8" s="47" t="s">
        <v>25</v>
      </c>
      <c r="K8" s="51">
        <v>1083752</v>
      </c>
      <c r="L8" s="47" t="s">
        <v>26</v>
      </c>
      <c r="M8" s="52">
        <f t="shared" si="0"/>
        <v>1083752</v>
      </c>
      <c r="N8" s="53">
        <v>0.11249</v>
      </c>
      <c r="O8" s="47" t="s">
        <v>46</v>
      </c>
      <c r="P8" s="47" t="s">
        <v>52</v>
      </c>
      <c r="Q8" s="47" t="s">
        <v>33</v>
      </c>
    </row>
    <row r="9" spans="1:17">
      <c r="A9" s="47" t="s">
        <v>17</v>
      </c>
      <c r="B9" s="48" t="s">
        <v>34</v>
      </c>
      <c r="C9" s="47">
        <v>223285</v>
      </c>
      <c r="D9" s="47" t="s">
        <v>48</v>
      </c>
      <c r="E9" s="47" t="s">
        <v>49</v>
      </c>
      <c r="F9" s="49" t="s">
        <v>50</v>
      </c>
      <c r="G9" s="47" t="s">
        <v>55</v>
      </c>
      <c r="H9" s="47" t="s">
        <v>23</v>
      </c>
      <c r="I9" s="47" t="s">
        <v>24</v>
      </c>
      <c r="J9" s="47" t="s">
        <v>25</v>
      </c>
      <c r="K9" s="51">
        <v>1121575</v>
      </c>
      <c r="L9" s="47" t="s">
        <v>26</v>
      </c>
      <c r="M9" s="52">
        <f t="shared" si="0"/>
        <v>1121575</v>
      </c>
      <c r="N9" s="53">
        <v>0.11445</v>
      </c>
      <c r="O9" s="47" t="s">
        <v>46</v>
      </c>
      <c r="P9" s="47" t="s">
        <v>52</v>
      </c>
      <c r="Q9" s="47" t="s">
        <v>33</v>
      </c>
    </row>
    <row r="10" hidden="1" spans="1:17">
      <c r="A10" s="47" t="s">
        <v>17</v>
      </c>
      <c r="B10" s="48" t="s">
        <v>34</v>
      </c>
      <c r="C10" s="47">
        <v>223288</v>
      </c>
      <c r="D10" s="47" t="s">
        <v>48</v>
      </c>
      <c r="E10" s="47" t="s">
        <v>49</v>
      </c>
      <c r="F10" s="49" t="s">
        <v>56</v>
      </c>
      <c r="G10" s="47" t="s">
        <v>57</v>
      </c>
      <c r="H10" s="47" t="s">
        <v>23</v>
      </c>
      <c r="I10" s="47" t="s">
        <v>24</v>
      </c>
      <c r="J10" s="47" t="s">
        <v>25</v>
      </c>
      <c r="K10" s="51">
        <v>398863.64</v>
      </c>
      <c r="L10" s="47" t="s">
        <v>26</v>
      </c>
      <c r="M10" s="52">
        <f t="shared" si="0"/>
        <v>398863.64</v>
      </c>
      <c r="N10" s="53">
        <v>0.12</v>
      </c>
      <c r="O10" s="47" t="s">
        <v>46</v>
      </c>
      <c r="P10" s="47" t="s">
        <v>52</v>
      </c>
      <c r="Q10" s="47" t="s">
        <v>29</v>
      </c>
    </row>
    <row r="11" spans="1:17">
      <c r="A11" s="47" t="s">
        <v>17</v>
      </c>
      <c r="B11" s="48" t="s">
        <v>34</v>
      </c>
      <c r="C11" s="47">
        <v>223583</v>
      </c>
      <c r="D11" s="47" t="s">
        <v>48</v>
      </c>
      <c r="E11" s="47" t="s">
        <v>49</v>
      </c>
      <c r="F11" s="49" t="s">
        <v>50</v>
      </c>
      <c r="G11" s="47" t="s">
        <v>58</v>
      </c>
      <c r="H11" s="47" t="s">
        <v>23</v>
      </c>
      <c r="I11" s="47" t="s">
        <v>24</v>
      </c>
      <c r="J11" s="47" t="s">
        <v>25</v>
      </c>
      <c r="K11" s="51">
        <v>596840</v>
      </c>
      <c r="L11" s="47" t="s">
        <v>26</v>
      </c>
      <c r="M11" s="52">
        <f t="shared" si="0"/>
        <v>596840</v>
      </c>
      <c r="N11" s="53">
        <v>0.11694</v>
      </c>
      <c r="O11" s="47" t="s">
        <v>46</v>
      </c>
      <c r="P11" s="47" t="s">
        <v>46</v>
      </c>
      <c r="Q11" s="47" t="s">
        <v>33</v>
      </c>
    </row>
    <row r="12" hidden="1" spans="1:17">
      <c r="A12" s="47" t="s">
        <v>17</v>
      </c>
      <c r="B12" s="48" t="s">
        <v>18</v>
      </c>
      <c r="C12" s="47">
        <v>223296</v>
      </c>
      <c r="D12" s="47" t="s">
        <v>59</v>
      </c>
      <c r="E12" s="47" t="s">
        <v>20</v>
      </c>
      <c r="F12" s="49" t="s">
        <v>60</v>
      </c>
      <c r="G12" s="47" t="s">
        <v>61</v>
      </c>
      <c r="H12" s="47" t="s">
        <v>23</v>
      </c>
      <c r="I12" s="47" t="s">
        <v>24</v>
      </c>
      <c r="J12" s="47" t="s">
        <v>62</v>
      </c>
      <c r="K12" s="51">
        <v>1393582</v>
      </c>
      <c r="L12" s="47" t="s">
        <v>26</v>
      </c>
      <c r="M12" s="52">
        <f t="shared" si="0"/>
        <v>1393582</v>
      </c>
      <c r="N12" s="53">
        <v>0.17</v>
      </c>
      <c r="O12" s="47" t="s">
        <v>63</v>
      </c>
      <c r="P12" s="47" t="s">
        <v>64</v>
      </c>
      <c r="Q12" s="47" t="s">
        <v>65</v>
      </c>
    </row>
    <row r="13" hidden="1" spans="1:17">
      <c r="A13" s="47" t="s">
        <v>17</v>
      </c>
      <c r="B13" s="48" t="s">
        <v>18</v>
      </c>
      <c r="C13" s="47">
        <v>223297</v>
      </c>
      <c r="D13" s="47" t="s">
        <v>59</v>
      </c>
      <c r="E13" s="47" t="s">
        <v>20</v>
      </c>
      <c r="F13" s="49" t="s">
        <v>66</v>
      </c>
      <c r="G13" s="47" t="s">
        <v>67</v>
      </c>
      <c r="H13" s="47" t="s">
        <v>23</v>
      </c>
      <c r="I13" s="47" t="s">
        <v>24</v>
      </c>
      <c r="J13" s="47" t="s">
        <v>62</v>
      </c>
      <c r="K13" s="51">
        <v>1735430</v>
      </c>
      <c r="L13" s="47" t="s">
        <v>26</v>
      </c>
      <c r="M13" s="52">
        <f t="shared" si="0"/>
        <v>1735430</v>
      </c>
      <c r="N13" s="53">
        <v>0.16</v>
      </c>
      <c r="O13" s="47" t="s">
        <v>63</v>
      </c>
      <c r="P13" s="47" t="s">
        <v>64</v>
      </c>
      <c r="Q13" s="47" t="s">
        <v>65</v>
      </c>
    </row>
    <row r="14" hidden="1" spans="1:17">
      <c r="A14" s="47" t="s">
        <v>17</v>
      </c>
      <c r="B14" s="48" t="s">
        <v>68</v>
      </c>
      <c r="C14" s="47">
        <v>223632</v>
      </c>
      <c r="D14" s="47" t="s">
        <v>69</v>
      </c>
      <c r="E14" s="47" t="s">
        <v>70</v>
      </c>
      <c r="F14" s="49" t="s">
        <v>71</v>
      </c>
      <c r="G14" s="47" t="s">
        <v>72</v>
      </c>
      <c r="H14" s="47" t="s">
        <v>23</v>
      </c>
      <c r="I14" s="47" t="s">
        <v>24</v>
      </c>
      <c r="J14" s="47" t="s">
        <v>73</v>
      </c>
      <c r="K14" s="51">
        <v>37999.99999926</v>
      </c>
      <c r="L14" s="47" t="s">
        <v>26</v>
      </c>
      <c r="M14" s="52">
        <f t="shared" si="0"/>
        <v>37999.99999926</v>
      </c>
      <c r="N14" s="53">
        <v>0.18421</v>
      </c>
      <c r="O14" s="47" t="s">
        <v>63</v>
      </c>
      <c r="P14" s="47" t="s">
        <v>63</v>
      </c>
      <c r="Q14" s="47" t="s">
        <v>29</v>
      </c>
    </row>
    <row r="15" spans="1:17">
      <c r="A15" s="47" t="s">
        <v>17</v>
      </c>
      <c r="B15" s="48" t="s">
        <v>34</v>
      </c>
      <c r="C15" s="47">
        <v>220823</v>
      </c>
      <c r="D15" s="47" t="s">
        <v>48</v>
      </c>
      <c r="E15" s="47" t="s">
        <v>49</v>
      </c>
      <c r="F15" s="49" t="s">
        <v>74</v>
      </c>
      <c r="G15" s="47" t="s">
        <v>75</v>
      </c>
      <c r="H15" s="47" t="s">
        <v>23</v>
      </c>
      <c r="I15" s="47" t="s">
        <v>24</v>
      </c>
      <c r="J15" s="47" t="s">
        <v>25</v>
      </c>
      <c r="K15" s="51">
        <v>8643956.04</v>
      </c>
      <c r="L15" s="47" t="s">
        <v>26</v>
      </c>
      <c r="M15" s="52">
        <f t="shared" si="0"/>
        <v>8643956.04</v>
      </c>
      <c r="N15" s="53">
        <v>0.09</v>
      </c>
      <c r="O15" s="47" t="s">
        <v>76</v>
      </c>
      <c r="P15" s="47" t="s">
        <v>77</v>
      </c>
      <c r="Q15" s="47" t="s">
        <v>29</v>
      </c>
    </row>
    <row r="16" spans="1:17">
      <c r="A16" s="47" t="s">
        <v>17</v>
      </c>
      <c r="B16" s="48" t="s">
        <v>34</v>
      </c>
      <c r="C16" s="47">
        <v>220947</v>
      </c>
      <c r="D16" s="47" t="s">
        <v>48</v>
      </c>
      <c r="E16" s="47" t="s">
        <v>49</v>
      </c>
      <c r="F16" s="49" t="s">
        <v>74</v>
      </c>
      <c r="G16" s="47" t="s">
        <v>78</v>
      </c>
      <c r="H16" s="47" t="s">
        <v>23</v>
      </c>
      <c r="I16" s="47" t="s">
        <v>24</v>
      </c>
      <c r="J16" s="47" t="s">
        <v>25</v>
      </c>
      <c r="K16" s="51">
        <v>4263736.26</v>
      </c>
      <c r="L16" s="47" t="s">
        <v>26</v>
      </c>
      <c r="M16" s="52">
        <f t="shared" si="0"/>
        <v>4263736.26</v>
      </c>
      <c r="N16" s="53">
        <v>0.09</v>
      </c>
      <c r="O16" s="47" t="s">
        <v>76</v>
      </c>
      <c r="P16" s="47" t="s">
        <v>79</v>
      </c>
      <c r="Q16" s="47" t="s">
        <v>29</v>
      </c>
    </row>
    <row r="17" spans="1:17">
      <c r="A17" s="47" t="s">
        <v>17</v>
      </c>
      <c r="B17" s="48" t="s">
        <v>34</v>
      </c>
      <c r="C17" s="47">
        <v>220944</v>
      </c>
      <c r="D17" s="47" t="s">
        <v>48</v>
      </c>
      <c r="E17" s="47" t="s">
        <v>49</v>
      </c>
      <c r="F17" s="49" t="s">
        <v>74</v>
      </c>
      <c r="G17" s="47" t="s">
        <v>80</v>
      </c>
      <c r="H17" s="47" t="s">
        <v>23</v>
      </c>
      <c r="I17" s="47" t="s">
        <v>24</v>
      </c>
      <c r="J17" s="47" t="s">
        <v>25</v>
      </c>
      <c r="K17" s="51">
        <v>4492307.69</v>
      </c>
      <c r="L17" s="47" t="s">
        <v>26</v>
      </c>
      <c r="M17" s="52">
        <f t="shared" si="0"/>
        <v>4492307.69</v>
      </c>
      <c r="N17" s="53">
        <v>0.09</v>
      </c>
      <c r="O17" s="47" t="s">
        <v>76</v>
      </c>
      <c r="P17" s="47" t="s">
        <v>79</v>
      </c>
      <c r="Q17" s="47" t="s">
        <v>29</v>
      </c>
    </row>
    <row r="18" spans="1:17">
      <c r="A18" s="47" t="s">
        <v>17</v>
      </c>
      <c r="B18" s="48" t="s">
        <v>34</v>
      </c>
      <c r="C18" s="47">
        <v>220940</v>
      </c>
      <c r="D18" s="47" t="s">
        <v>48</v>
      </c>
      <c r="E18" s="47" t="s">
        <v>49</v>
      </c>
      <c r="F18" s="49" t="s">
        <v>74</v>
      </c>
      <c r="G18" s="47" t="s">
        <v>81</v>
      </c>
      <c r="H18" s="47" t="s">
        <v>23</v>
      </c>
      <c r="I18" s="47" t="s">
        <v>24</v>
      </c>
      <c r="J18" s="47" t="s">
        <v>25</v>
      </c>
      <c r="K18" s="51">
        <v>9670329.67</v>
      </c>
      <c r="L18" s="47" t="s">
        <v>26</v>
      </c>
      <c r="M18" s="52">
        <f t="shared" si="0"/>
        <v>9670329.67</v>
      </c>
      <c r="N18" s="53">
        <v>0.09</v>
      </c>
      <c r="O18" s="47" t="s">
        <v>76</v>
      </c>
      <c r="P18" s="47" t="s">
        <v>79</v>
      </c>
      <c r="Q18" s="47" t="s">
        <v>29</v>
      </c>
    </row>
    <row r="19" spans="1:17">
      <c r="A19" s="47" t="s">
        <v>17</v>
      </c>
      <c r="B19" s="48" t="s">
        <v>34</v>
      </c>
      <c r="C19" s="47">
        <v>223287</v>
      </c>
      <c r="D19" s="47" t="s">
        <v>48</v>
      </c>
      <c r="E19" s="47" t="s">
        <v>49</v>
      </c>
      <c r="F19" s="49" t="s">
        <v>74</v>
      </c>
      <c r="G19" s="47" t="s">
        <v>82</v>
      </c>
      <c r="H19" s="47" t="s">
        <v>23</v>
      </c>
      <c r="I19" s="47" t="s">
        <v>24</v>
      </c>
      <c r="J19" s="47" t="s">
        <v>25</v>
      </c>
      <c r="K19" s="51">
        <v>2806931.87</v>
      </c>
      <c r="L19" s="47" t="s">
        <v>26</v>
      </c>
      <c r="M19" s="52">
        <f t="shared" si="0"/>
        <v>2806931.87</v>
      </c>
      <c r="N19" s="53">
        <v>0.09</v>
      </c>
      <c r="O19" s="47" t="s">
        <v>76</v>
      </c>
      <c r="P19" s="47" t="s">
        <v>52</v>
      </c>
      <c r="Q19" s="47" t="s">
        <v>29</v>
      </c>
    </row>
    <row r="20" hidden="1" spans="1:17">
      <c r="A20" s="47" t="s">
        <v>17</v>
      </c>
      <c r="B20" s="48" t="s">
        <v>68</v>
      </c>
      <c r="C20" s="47">
        <v>223249</v>
      </c>
      <c r="D20" s="47" t="s">
        <v>69</v>
      </c>
      <c r="E20" s="47" t="s">
        <v>70</v>
      </c>
      <c r="F20" s="49" t="s">
        <v>83</v>
      </c>
      <c r="G20" s="47" t="s">
        <v>84</v>
      </c>
      <c r="H20" s="47" t="s">
        <v>85</v>
      </c>
      <c r="I20" s="47" t="s">
        <v>86</v>
      </c>
      <c r="J20" s="47" t="s">
        <v>73</v>
      </c>
      <c r="K20" s="51">
        <v>1101123.6</v>
      </c>
      <c r="L20" s="47" t="s">
        <v>26</v>
      </c>
      <c r="M20" s="52">
        <f t="shared" si="0"/>
        <v>1101123.6</v>
      </c>
      <c r="N20" s="53">
        <v>0.11</v>
      </c>
      <c r="O20" s="47" t="s">
        <v>87</v>
      </c>
      <c r="P20" s="47" t="s">
        <v>47</v>
      </c>
      <c r="Q20" s="47" t="s">
        <v>33</v>
      </c>
    </row>
    <row r="21" hidden="1" spans="1:17">
      <c r="A21" s="47" t="s">
        <v>17</v>
      </c>
      <c r="B21" s="48" t="s">
        <v>18</v>
      </c>
      <c r="C21" s="47">
        <v>223771</v>
      </c>
      <c r="D21" s="47" t="s">
        <v>59</v>
      </c>
      <c r="E21" s="47" t="s">
        <v>20</v>
      </c>
      <c r="F21" s="49" t="s">
        <v>88</v>
      </c>
      <c r="G21" s="47" t="s">
        <v>89</v>
      </c>
      <c r="H21" s="47" t="s">
        <v>23</v>
      </c>
      <c r="I21" s="47" t="s">
        <v>24</v>
      </c>
      <c r="J21" s="47" t="s">
        <v>45</v>
      </c>
      <c r="K21" s="51">
        <v>399720.95998109</v>
      </c>
      <c r="L21" s="47" t="s">
        <v>26</v>
      </c>
      <c r="M21" s="52">
        <f t="shared" si="0"/>
        <v>399720.95998109</v>
      </c>
      <c r="N21" s="53">
        <v>0.17</v>
      </c>
      <c r="O21" s="47" t="s">
        <v>87</v>
      </c>
      <c r="P21" s="47" t="s">
        <v>87</v>
      </c>
      <c r="Q21" s="47" t="s">
        <v>65</v>
      </c>
    </row>
    <row r="22" hidden="1" spans="1:17">
      <c r="A22" s="47" t="s">
        <v>17</v>
      </c>
      <c r="B22" s="48" t="s">
        <v>40</v>
      </c>
      <c r="C22" s="47">
        <v>223773</v>
      </c>
      <c r="D22" s="47" t="s">
        <v>59</v>
      </c>
      <c r="E22" s="47" t="s">
        <v>20</v>
      </c>
      <c r="F22" s="49" t="s">
        <v>90</v>
      </c>
      <c r="G22" s="47" t="s">
        <v>91</v>
      </c>
      <c r="H22" s="47" t="s">
        <v>23</v>
      </c>
      <c r="I22" s="47" t="s">
        <v>24</v>
      </c>
      <c r="J22" s="47" t="s">
        <v>45</v>
      </c>
      <c r="K22" s="51">
        <v>135020</v>
      </c>
      <c r="L22" s="47" t="s">
        <v>26</v>
      </c>
      <c r="M22" s="52">
        <f t="shared" si="0"/>
        <v>135020</v>
      </c>
      <c r="N22" s="53">
        <v>0.2</v>
      </c>
      <c r="O22" s="47" t="s">
        <v>87</v>
      </c>
      <c r="P22" s="47" t="s">
        <v>87</v>
      </c>
      <c r="Q22" s="47" t="s">
        <v>33</v>
      </c>
    </row>
    <row r="23" hidden="1" spans="1:17">
      <c r="A23" s="47" t="s">
        <v>17</v>
      </c>
      <c r="B23" s="48" t="s">
        <v>34</v>
      </c>
      <c r="C23" s="47">
        <v>223774</v>
      </c>
      <c r="D23" s="47" t="s">
        <v>48</v>
      </c>
      <c r="E23" s="47" t="s">
        <v>49</v>
      </c>
      <c r="F23" s="49" t="s">
        <v>92</v>
      </c>
      <c r="G23" s="47" t="s">
        <v>93</v>
      </c>
      <c r="H23" s="47" t="s">
        <v>23</v>
      </c>
      <c r="I23" s="47" t="s">
        <v>24</v>
      </c>
      <c r="J23" s="47" t="s">
        <v>25</v>
      </c>
      <c r="K23" s="51">
        <v>8757961.78</v>
      </c>
      <c r="L23" s="47" t="s">
        <v>26</v>
      </c>
      <c r="M23" s="52">
        <f t="shared" si="0"/>
        <v>8757961.78</v>
      </c>
      <c r="N23" s="53">
        <v>0.1836</v>
      </c>
      <c r="O23" s="47" t="s">
        <v>87</v>
      </c>
      <c r="P23" s="47" t="s">
        <v>87</v>
      </c>
      <c r="Q23" s="47" t="s">
        <v>33</v>
      </c>
    </row>
    <row r="24" hidden="1" spans="1:17">
      <c r="A24" s="47" t="s">
        <v>17</v>
      </c>
      <c r="B24" s="48" t="s">
        <v>40</v>
      </c>
      <c r="C24" s="47">
        <v>223798</v>
      </c>
      <c r="D24" s="47" t="s">
        <v>59</v>
      </c>
      <c r="E24" s="47" t="s">
        <v>20</v>
      </c>
      <c r="F24" s="49" t="s">
        <v>94</v>
      </c>
      <c r="G24" s="47" t="s">
        <v>95</v>
      </c>
      <c r="H24" s="47" t="s">
        <v>23</v>
      </c>
      <c r="I24" s="47" t="s">
        <v>24</v>
      </c>
      <c r="J24" s="47" t="s">
        <v>62</v>
      </c>
      <c r="K24" s="51">
        <v>330425.75</v>
      </c>
      <c r="L24" s="47" t="s">
        <v>26</v>
      </c>
      <c r="M24" s="52">
        <f t="shared" si="0"/>
        <v>330425.75</v>
      </c>
      <c r="N24" s="53">
        <v>0.2</v>
      </c>
      <c r="O24" s="47" t="s">
        <v>87</v>
      </c>
      <c r="P24" s="47" t="s">
        <v>87</v>
      </c>
      <c r="Q24" s="47" t="s">
        <v>29</v>
      </c>
    </row>
    <row r="25" hidden="1" spans="1:17">
      <c r="A25" s="47" t="s">
        <v>17</v>
      </c>
      <c r="B25" s="48" t="s">
        <v>68</v>
      </c>
      <c r="C25" s="47">
        <v>223628</v>
      </c>
      <c r="D25" s="47" t="s">
        <v>96</v>
      </c>
      <c r="E25" s="47" t="s">
        <v>70</v>
      </c>
      <c r="F25" s="49" t="s">
        <v>97</v>
      </c>
      <c r="G25" s="47" t="s">
        <v>98</v>
      </c>
      <c r="H25" s="47" t="s">
        <v>85</v>
      </c>
      <c r="I25" s="47" t="s">
        <v>86</v>
      </c>
      <c r="J25" s="47" t="s">
        <v>25</v>
      </c>
      <c r="K25" s="51">
        <v>361445.78</v>
      </c>
      <c r="L25" s="47" t="s">
        <v>26</v>
      </c>
      <c r="M25" s="52">
        <f t="shared" si="0"/>
        <v>361445.78</v>
      </c>
      <c r="N25" s="53">
        <v>0.17</v>
      </c>
      <c r="O25" s="47" t="s">
        <v>99</v>
      </c>
      <c r="P25" s="47" t="s">
        <v>63</v>
      </c>
      <c r="Q25" s="47" t="s">
        <v>100</v>
      </c>
    </row>
    <row r="26" hidden="1" spans="1:17">
      <c r="A26" s="47" t="s">
        <v>17</v>
      </c>
      <c r="B26" s="48" t="s">
        <v>68</v>
      </c>
      <c r="C26" s="47">
        <v>223627</v>
      </c>
      <c r="D26" s="47" t="s">
        <v>96</v>
      </c>
      <c r="E26" s="47" t="s">
        <v>70</v>
      </c>
      <c r="F26" s="49" t="s">
        <v>101</v>
      </c>
      <c r="G26" s="47" t="s">
        <v>102</v>
      </c>
      <c r="H26" s="47" t="s">
        <v>85</v>
      </c>
      <c r="I26" s="47" t="s">
        <v>86</v>
      </c>
      <c r="J26" s="47" t="s">
        <v>25</v>
      </c>
      <c r="K26" s="51">
        <v>600000</v>
      </c>
      <c r="L26" s="47" t="s">
        <v>26</v>
      </c>
      <c r="M26" s="52">
        <f t="shared" si="0"/>
        <v>600000</v>
      </c>
      <c r="N26" s="53">
        <v>0.16667</v>
      </c>
      <c r="O26" s="47" t="s">
        <v>99</v>
      </c>
      <c r="P26" s="47" t="s">
        <v>63</v>
      </c>
      <c r="Q26" s="47" t="s">
        <v>100</v>
      </c>
    </row>
    <row r="27" hidden="1" spans="1:17">
      <c r="A27" s="47" t="s">
        <v>17</v>
      </c>
      <c r="B27" s="48" t="s">
        <v>103</v>
      </c>
      <c r="C27" s="47">
        <v>223579</v>
      </c>
      <c r="D27" s="47" t="s">
        <v>104</v>
      </c>
      <c r="E27" s="47" t="s">
        <v>105</v>
      </c>
      <c r="F27" s="49" t="s">
        <v>106</v>
      </c>
      <c r="G27" s="47" t="s">
        <v>107</v>
      </c>
      <c r="H27" s="47" t="s">
        <v>23</v>
      </c>
      <c r="I27" s="47" t="s">
        <v>24</v>
      </c>
      <c r="J27" s="47" t="s">
        <v>25</v>
      </c>
      <c r="K27" s="51">
        <v>661284.00002164</v>
      </c>
      <c r="L27" s="47" t="s">
        <v>26</v>
      </c>
      <c r="M27" s="52">
        <f t="shared" si="0"/>
        <v>661284.00002164</v>
      </c>
      <c r="N27" s="53">
        <v>0.24998</v>
      </c>
      <c r="O27" s="47" t="s">
        <v>99</v>
      </c>
      <c r="P27" s="47" t="s">
        <v>46</v>
      </c>
      <c r="Q27" s="47" t="s">
        <v>33</v>
      </c>
    </row>
    <row r="28" hidden="1" spans="1:17">
      <c r="A28" s="47" t="s">
        <v>17</v>
      </c>
      <c r="B28" s="48" t="s">
        <v>18</v>
      </c>
      <c r="C28" s="47">
        <v>223871</v>
      </c>
      <c r="D28" s="47" t="s">
        <v>59</v>
      </c>
      <c r="E28" s="47" t="s">
        <v>20</v>
      </c>
      <c r="F28" s="49" t="s">
        <v>108</v>
      </c>
      <c r="G28" s="47" t="s">
        <v>109</v>
      </c>
      <c r="H28" s="47" t="s">
        <v>23</v>
      </c>
      <c r="I28" s="47" t="s">
        <v>24</v>
      </c>
      <c r="J28" s="47" t="s">
        <v>62</v>
      </c>
      <c r="K28" s="51">
        <v>234999.99999648</v>
      </c>
      <c r="L28" s="47" t="s">
        <v>26</v>
      </c>
      <c r="M28" s="52">
        <f t="shared" si="0"/>
        <v>234999.99999648</v>
      </c>
      <c r="N28" s="53">
        <v>0.57447</v>
      </c>
      <c r="O28" s="47" t="s">
        <v>99</v>
      </c>
      <c r="P28" s="47" t="s">
        <v>99</v>
      </c>
      <c r="Q28" s="47" t="s">
        <v>65</v>
      </c>
    </row>
    <row r="29" hidden="1" spans="1:17">
      <c r="A29" s="47" t="s">
        <v>17</v>
      </c>
      <c r="B29" s="48" t="s">
        <v>18</v>
      </c>
      <c r="C29" s="47">
        <v>223855</v>
      </c>
      <c r="D29" s="47" t="s">
        <v>59</v>
      </c>
      <c r="E29" s="47" t="s">
        <v>20</v>
      </c>
      <c r="F29" s="49" t="s">
        <v>110</v>
      </c>
      <c r="G29" s="47" t="s">
        <v>111</v>
      </c>
      <c r="H29" s="47" t="s">
        <v>23</v>
      </c>
      <c r="I29" s="47" t="s">
        <v>24</v>
      </c>
      <c r="J29" s="47" t="s">
        <v>62</v>
      </c>
      <c r="K29" s="51">
        <v>765427.99992402</v>
      </c>
      <c r="L29" s="47" t="s">
        <v>26</v>
      </c>
      <c r="M29" s="52">
        <f t="shared" si="0"/>
        <v>765427.99992402</v>
      </c>
      <c r="N29" s="53">
        <v>0.54535</v>
      </c>
      <c r="O29" s="47" t="s">
        <v>99</v>
      </c>
      <c r="P29" s="47" t="s">
        <v>99</v>
      </c>
      <c r="Q29" s="47" t="s">
        <v>29</v>
      </c>
    </row>
    <row r="30" hidden="1" spans="1:17">
      <c r="A30" s="47" t="s">
        <v>17</v>
      </c>
      <c r="B30" s="48" t="s">
        <v>18</v>
      </c>
      <c r="C30" s="47">
        <v>223856</v>
      </c>
      <c r="D30" s="47" t="s">
        <v>59</v>
      </c>
      <c r="E30" s="47" t="s">
        <v>20</v>
      </c>
      <c r="F30" s="49" t="s">
        <v>110</v>
      </c>
      <c r="G30" s="47" t="s">
        <v>112</v>
      </c>
      <c r="H30" s="47" t="s">
        <v>23</v>
      </c>
      <c r="I30" s="47" t="s">
        <v>24</v>
      </c>
      <c r="J30" s="47" t="s">
        <v>62</v>
      </c>
      <c r="K30" s="51">
        <v>104438.91</v>
      </c>
      <c r="L30" s="47" t="s">
        <v>26</v>
      </c>
      <c r="M30" s="52">
        <f t="shared" si="0"/>
        <v>104438.91</v>
      </c>
      <c r="N30" s="53">
        <v>0.36805</v>
      </c>
      <c r="O30" s="47" t="s">
        <v>99</v>
      </c>
      <c r="P30" s="47" t="s">
        <v>99</v>
      </c>
      <c r="Q30" s="47" t="s">
        <v>29</v>
      </c>
    </row>
    <row r="31" hidden="1" spans="1:17">
      <c r="A31" s="47" t="s">
        <v>17</v>
      </c>
      <c r="B31" s="48" t="s">
        <v>40</v>
      </c>
      <c r="C31" s="47">
        <v>223864</v>
      </c>
      <c r="D31" s="47" t="s">
        <v>59</v>
      </c>
      <c r="E31" s="47" t="s">
        <v>20</v>
      </c>
      <c r="F31" s="49" t="s">
        <v>113</v>
      </c>
      <c r="G31" s="47" t="s">
        <v>114</v>
      </c>
      <c r="H31" s="47" t="s">
        <v>23</v>
      </c>
      <c r="I31" s="47" t="s">
        <v>24</v>
      </c>
      <c r="J31" s="47" t="s">
        <v>45</v>
      </c>
      <c r="K31" s="51">
        <v>75000</v>
      </c>
      <c r="L31" s="47" t="s">
        <v>26</v>
      </c>
      <c r="M31" s="52">
        <f t="shared" si="0"/>
        <v>75000</v>
      </c>
      <c r="N31" s="53">
        <v>0.26667</v>
      </c>
      <c r="O31" s="47" t="s">
        <v>99</v>
      </c>
      <c r="P31" s="47" t="s">
        <v>99</v>
      </c>
      <c r="Q31" s="47" t="s">
        <v>65</v>
      </c>
    </row>
    <row r="32" hidden="1" spans="1:17">
      <c r="A32" s="47" t="s">
        <v>17</v>
      </c>
      <c r="B32" s="48" t="s">
        <v>18</v>
      </c>
      <c r="C32" s="47">
        <v>223870</v>
      </c>
      <c r="D32" s="47" t="s">
        <v>59</v>
      </c>
      <c r="E32" s="47" t="s">
        <v>20</v>
      </c>
      <c r="F32" s="49" t="s">
        <v>108</v>
      </c>
      <c r="G32" s="47" t="s">
        <v>115</v>
      </c>
      <c r="H32" s="47" t="s">
        <v>23</v>
      </c>
      <c r="I32" s="47" t="s">
        <v>24</v>
      </c>
      <c r="J32" s="47" t="s">
        <v>62</v>
      </c>
      <c r="K32" s="51">
        <v>234999.99999648</v>
      </c>
      <c r="L32" s="47" t="s">
        <v>26</v>
      </c>
      <c r="M32" s="52">
        <f t="shared" si="0"/>
        <v>234999.99999648</v>
      </c>
      <c r="N32" s="53">
        <v>0.57447</v>
      </c>
      <c r="O32" s="47" t="s">
        <v>99</v>
      </c>
      <c r="P32" s="47" t="s">
        <v>99</v>
      </c>
      <c r="Q32" s="47" t="s">
        <v>65</v>
      </c>
    </row>
    <row r="33" hidden="1" spans="1:17">
      <c r="A33" s="47" t="s">
        <v>17</v>
      </c>
      <c r="B33" s="48" t="s">
        <v>103</v>
      </c>
      <c r="C33" s="47">
        <v>212537</v>
      </c>
      <c r="D33" s="47" t="s">
        <v>116</v>
      </c>
      <c r="E33" s="47" t="s">
        <v>117</v>
      </c>
      <c r="F33" s="49" t="s">
        <v>118</v>
      </c>
      <c r="G33" s="47" t="s">
        <v>119</v>
      </c>
      <c r="H33" s="47" t="s">
        <v>85</v>
      </c>
      <c r="I33" s="47" t="s">
        <v>86</v>
      </c>
      <c r="J33" s="47" t="s">
        <v>25</v>
      </c>
      <c r="K33" s="51">
        <v>11293515.36</v>
      </c>
      <c r="L33" s="47" t="s">
        <v>26</v>
      </c>
      <c r="M33" s="52">
        <f t="shared" si="0"/>
        <v>11293515.36</v>
      </c>
      <c r="N33" s="53">
        <v>0.121</v>
      </c>
      <c r="O33" s="47" t="s">
        <v>120</v>
      </c>
      <c r="P33" s="47" t="s">
        <v>121</v>
      </c>
      <c r="Q33" s="47" t="s">
        <v>33</v>
      </c>
    </row>
    <row r="34" hidden="1" spans="1:17">
      <c r="A34" s="47" t="s">
        <v>17</v>
      </c>
      <c r="B34" s="48" t="s">
        <v>40</v>
      </c>
      <c r="C34" s="47">
        <v>216389</v>
      </c>
      <c r="D34" s="47" t="s">
        <v>122</v>
      </c>
      <c r="E34" s="47" t="s">
        <v>42</v>
      </c>
      <c r="F34" s="49" t="s">
        <v>123</v>
      </c>
      <c r="G34" s="47" t="s">
        <v>124</v>
      </c>
      <c r="H34" s="47" t="s">
        <v>125</v>
      </c>
      <c r="I34" s="47" t="s">
        <v>126</v>
      </c>
      <c r="J34" s="47" t="s">
        <v>45</v>
      </c>
      <c r="K34" s="51">
        <v>2200000</v>
      </c>
      <c r="L34" s="47" t="s">
        <v>26</v>
      </c>
      <c r="M34" s="52">
        <f t="shared" si="0"/>
        <v>2200000</v>
      </c>
      <c r="N34" s="53">
        <v>0.18182</v>
      </c>
      <c r="O34" s="47" t="s">
        <v>120</v>
      </c>
      <c r="P34" s="47" t="s">
        <v>127</v>
      </c>
      <c r="Q34" s="47" t="s">
        <v>33</v>
      </c>
    </row>
    <row r="35" hidden="1" spans="1:17">
      <c r="A35" s="47" t="s">
        <v>17</v>
      </c>
      <c r="B35" s="48" t="s">
        <v>103</v>
      </c>
      <c r="C35" s="47">
        <v>223838</v>
      </c>
      <c r="D35" s="47" t="s">
        <v>128</v>
      </c>
      <c r="E35" s="47" t="s">
        <v>129</v>
      </c>
      <c r="F35" s="49" t="s">
        <v>130</v>
      </c>
      <c r="G35" s="47" t="s">
        <v>131</v>
      </c>
      <c r="H35" s="47" t="s">
        <v>85</v>
      </c>
      <c r="I35" s="47" t="s">
        <v>86</v>
      </c>
      <c r="J35" s="47" t="s">
        <v>62</v>
      </c>
      <c r="K35" s="51">
        <v>184000.00000793</v>
      </c>
      <c r="L35" s="47" t="s">
        <v>26</v>
      </c>
      <c r="M35" s="52">
        <f t="shared" si="0"/>
        <v>184000.00000793</v>
      </c>
      <c r="N35" s="53">
        <v>0.29348</v>
      </c>
      <c r="O35" s="47" t="s">
        <v>120</v>
      </c>
      <c r="P35" s="47" t="s">
        <v>99</v>
      </c>
      <c r="Q35" s="47" t="s">
        <v>65</v>
      </c>
    </row>
    <row r="36" hidden="1" spans="1:17">
      <c r="A36" s="47" t="s">
        <v>17</v>
      </c>
      <c r="B36" s="48" t="s">
        <v>103</v>
      </c>
      <c r="C36" s="47">
        <v>223840</v>
      </c>
      <c r="D36" s="47" t="s">
        <v>128</v>
      </c>
      <c r="E36" s="47" t="s">
        <v>129</v>
      </c>
      <c r="F36" s="49" t="s">
        <v>132</v>
      </c>
      <c r="G36" s="47" t="s">
        <v>133</v>
      </c>
      <c r="H36" s="47" t="s">
        <v>134</v>
      </c>
      <c r="I36" s="47" t="s">
        <v>135</v>
      </c>
      <c r="J36" s="47" t="s">
        <v>45</v>
      </c>
      <c r="K36" s="51">
        <v>35615</v>
      </c>
      <c r="L36" s="47" t="s">
        <v>26</v>
      </c>
      <c r="M36" s="52">
        <f t="shared" si="0"/>
        <v>35615</v>
      </c>
      <c r="N36" s="53">
        <v>0.25</v>
      </c>
      <c r="O36" s="47" t="s">
        <v>120</v>
      </c>
      <c r="P36" s="47" t="s">
        <v>99</v>
      </c>
      <c r="Q36" s="47" t="s">
        <v>29</v>
      </c>
    </row>
    <row r="37" hidden="1" spans="1:17">
      <c r="A37" s="47" t="s">
        <v>17</v>
      </c>
      <c r="B37" s="48" t="s">
        <v>103</v>
      </c>
      <c r="C37" s="47">
        <v>223851</v>
      </c>
      <c r="D37" s="47" t="s">
        <v>128</v>
      </c>
      <c r="E37" s="47" t="s">
        <v>129</v>
      </c>
      <c r="F37" s="49" t="s">
        <v>136</v>
      </c>
      <c r="G37" s="47" t="s">
        <v>136</v>
      </c>
      <c r="H37" s="47" t="s">
        <v>134</v>
      </c>
      <c r="I37" s="47" t="s">
        <v>135</v>
      </c>
      <c r="J37" s="47" t="s">
        <v>45</v>
      </c>
      <c r="K37" s="51">
        <v>2290800</v>
      </c>
      <c r="L37" s="47" t="s">
        <v>26</v>
      </c>
      <c r="M37" s="52">
        <f t="shared" si="0"/>
        <v>2290800</v>
      </c>
      <c r="N37" s="53">
        <v>0.2</v>
      </c>
      <c r="O37" s="47" t="s">
        <v>120</v>
      </c>
      <c r="P37" s="47" t="s">
        <v>99</v>
      </c>
      <c r="Q37" s="47" t="s">
        <v>65</v>
      </c>
    </row>
    <row r="38" hidden="1" spans="1:17">
      <c r="A38" s="47" t="s">
        <v>17</v>
      </c>
      <c r="B38" s="48" t="s">
        <v>103</v>
      </c>
      <c r="C38" s="47">
        <v>222847</v>
      </c>
      <c r="D38" s="47" t="s">
        <v>104</v>
      </c>
      <c r="E38" s="47" t="s">
        <v>105</v>
      </c>
      <c r="F38" s="49" t="s">
        <v>137</v>
      </c>
      <c r="G38" s="47" t="s">
        <v>138</v>
      </c>
      <c r="H38" s="47" t="s">
        <v>23</v>
      </c>
      <c r="I38" s="47" t="s">
        <v>24</v>
      </c>
      <c r="J38" s="47" t="s">
        <v>25</v>
      </c>
      <c r="K38" s="51">
        <v>320443</v>
      </c>
      <c r="L38" s="47" t="s">
        <v>26</v>
      </c>
      <c r="M38" s="52">
        <f t="shared" si="0"/>
        <v>320443</v>
      </c>
      <c r="N38" s="53">
        <v>0.11061</v>
      </c>
      <c r="O38" s="47" t="s">
        <v>120</v>
      </c>
      <c r="P38" s="47" t="s">
        <v>139</v>
      </c>
      <c r="Q38" s="47" t="s">
        <v>33</v>
      </c>
    </row>
    <row r="39" hidden="1" spans="1:17">
      <c r="A39" s="47" t="s">
        <v>17</v>
      </c>
      <c r="B39" s="48" t="s">
        <v>103</v>
      </c>
      <c r="C39" s="47">
        <v>222523</v>
      </c>
      <c r="D39" s="47" t="s">
        <v>140</v>
      </c>
      <c r="E39" s="47" t="s">
        <v>117</v>
      </c>
      <c r="F39" s="49" t="s">
        <v>141</v>
      </c>
      <c r="G39" s="47" t="s">
        <v>142</v>
      </c>
      <c r="H39" s="47" t="s">
        <v>85</v>
      </c>
      <c r="I39" s="47" t="s">
        <v>86</v>
      </c>
      <c r="J39" s="47" t="s">
        <v>143</v>
      </c>
      <c r="K39" s="51">
        <v>9789351.72</v>
      </c>
      <c r="L39" s="47" t="s">
        <v>26</v>
      </c>
      <c r="M39" s="52">
        <f t="shared" si="0"/>
        <v>9789351.72</v>
      </c>
      <c r="N39" s="53">
        <v>0.13</v>
      </c>
      <c r="O39" s="47" t="s">
        <v>144</v>
      </c>
      <c r="P39" s="47" t="s">
        <v>145</v>
      </c>
      <c r="Q39" s="47" t="s">
        <v>100</v>
      </c>
    </row>
    <row r="40" hidden="1" spans="1:17">
      <c r="A40" s="47" t="s">
        <v>17</v>
      </c>
      <c r="B40" s="48" t="s">
        <v>18</v>
      </c>
      <c r="C40" s="47">
        <v>223772</v>
      </c>
      <c r="D40" s="47" t="s">
        <v>146</v>
      </c>
      <c r="E40" s="47" t="s">
        <v>20</v>
      </c>
      <c r="F40" s="49" t="s">
        <v>147</v>
      </c>
      <c r="G40" s="47" t="s">
        <v>148</v>
      </c>
      <c r="H40" s="47" t="s">
        <v>149</v>
      </c>
      <c r="I40" s="47" t="s">
        <v>126</v>
      </c>
      <c r="J40" s="47" t="s">
        <v>25</v>
      </c>
      <c r="K40" s="51">
        <v>22780</v>
      </c>
      <c r="L40" s="47" t="s">
        <v>26</v>
      </c>
      <c r="M40" s="52">
        <f t="shared" si="0"/>
        <v>22780</v>
      </c>
      <c r="N40" s="53">
        <v>0</v>
      </c>
      <c r="O40" s="47" t="s">
        <v>144</v>
      </c>
      <c r="P40" s="47" t="s">
        <v>87</v>
      </c>
      <c r="Q40" s="47" t="s">
        <v>29</v>
      </c>
    </row>
    <row r="41" hidden="1" spans="1:17">
      <c r="A41" s="47" t="s">
        <v>17</v>
      </c>
      <c r="B41" s="48" t="s">
        <v>103</v>
      </c>
      <c r="C41" s="47">
        <v>223845</v>
      </c>
      <c r="D41" s="47" t="s">
        <v>128</v>
      </c>
      <c r="E41" s="47" t="s">
        <v>129</v>
      </c>
      <c r="F41" s="49" t="s">
        <v>150</v>
      </c>
      <c r="G41" s="47" t="s">
        <v>151</v>
      </c>
      <c r="H41" s="47" t="s">
        <v>134</v>
      </c>
      <c r="I41" s="47" t="s">
        <v>135</v>
      </c>
      <c r="J41" s="47" t="s">
        <v>45</v>
      </c>
      <c r="K41" s="51">
        <v>19799999.9994987</v>
      </c>
      <c r="L41" s="47" t="s">
        <v>26</v>
      </c>
      <c r="M41" s="52">
        <f t="shared" si="0"/>
        <v>19799999.9994987</v>
      </c>
      <c r="N41" s="53">
        <v>0.20202</v>
      </c>
      <c r="O41" s="47" t="s">
        <v>144</v>
      </c>
      <c r="P41" s="47" t="s">
        <v>99</v>
      </c>
      <c r="Q41" s="47" t="s">
        <v>65</v>
      </c>
    </row>
    <row r="42" hidden="1" spans="1:17">
      <c r="A42" s="47" t="s">
        <v>17</v>
      </c>
      <c r="B42" s="48" t="s">
        <v>34</v>
      </c>
      <c r="C42" s="47">
        <v>221324</v>
      </c>
      <c r="D42" s="47" t="s">
        <v>35</v>
      </c>
      <c r="E42" s="47" t="s">
        <v>36</v>
      </c>
      <c r="F42" s="49" t="s">
        <v>152</v>
      </c>
      <c r="G42" s="47" t="s">
        <v>153</v>
      </c>
      <c r="H42" s="47" t="s">
        <v>85</v>
      </c>
      <c r="I42" s="47" t="s">
        <v>86</v>
      </c>
      <c r="J42" s="47" t="s">
        <v>25</v>
      </c>
      <c r="K42" s="51">
        <v>1144444.44</v>
      </c>
      <c r="L42" s="47" t="s">
        <v>26</v>
      </c>
      <c r="M42" s="52">
        <f t="shared" si="0"/>
        <v>1144444.44</v>
      </c>
      <c r="N42" s="53">
        <v>0.1</v>
      </c>
      <c r="O42" s="47" t="s">
        <v>154</v>
      </c>
      <c r="P42" s="47" t="s">
        <v>155</v>
      </c>
      <c r="Q42" s="47" t="s">
        <v>33</v>
      </c>
    </row>
    <row r="43" hidden="1" spans="1:17">
      <c r="A43" s="47" t="s">
        <v>17</v>
      </c>
      <c r="B43" s="48" t="s">
        <v>18</v>
      </c>
      <c r="C43" s="47">
        <v>223301</v>
      </c>
      <c r="D43" s="47" t="s">
        <v>19</v>
      </c>
      <c r="E43" s="47" t="s">
        <v>20</v>
      </c>
      <c r="F43" s="49" t="s">
        <v>156</v>
      </c>
      <c r="G43" s="47" t="s">
        <v>157</v>
      </c>
      <c r="H43" s="47" t="s">
        <v>149</v>
      </c>
      <c r="I43" s="47" t="s">
        <v>126</v>
      </c>
      <c r="J43" s="47" t="s">
        <v>25</v>
      </c>
      <c r="K43" s="51">
        <v>9200000</v>
      </c>
      <c r="L43" s="47" t="s">
        <v>26</v>
      </c>
      <c r="M43" s="52">
        <f t="shared" si="0"/>
        <v>9200000</v>
      </c>
      <c r="N43" s="53">
        <v>0.11957</v>
      </c>
      <c r="O43" s="47" t="s">
        <v>154</v>
      </c>
      <c r="P43" s="47" t="s">
        <v>64</v>
      </c>
      <c r="Q43" s="47" t="s">
        <v>33</v>
      </c>
    </row>
    <row r="44" hidden="1" spans="1:17">
      <c r="A44" s="47" t="s">
        <v>17</v>
      </c>
      <c r="B44" s="48" t="s">
        <v>34</v>
      </c>
      <c r="C44" s="47">
        <v>223726</v>
      </c>
      <c r="D44" s="47" t="s">
        <v>48</v>
      </c>
      <c r="E44" s="47" t="s">
        <v>49</v>
      </c>
      <c r="F44" s="49" t="s">
        <v>56</v>
      </c>
      <c r="G44" s="47" t="s">
        <v>158</v>
      </c>
      <c r="H44" s="47" t="s">
        <v>125</v>
      </c>
      <c r="I44" s="47" t="s">
        <v>86</v>
      </c>
      <c r="J44" s="47" t="s">
        <v>25</v>
      </c>
      <c r="K44" s="51">
        <v>4248876.4</v>
      </c>
      <c r="L44" s="47" t="s">
        <v>26</v>
      </c>
      <c r="M44" s="52">
        <f t="shared" si="0"/>
        <v>4248876.4</v>
      </c>
      <c r="N44" s="53">
        <v>0.11</v>
      </c>
      <c r="O44" s="47" t="s">
        <v>154</v>
      </c>
      <c r="P44" s="47" t="s">
        <v>159</v>
      </c>
      <c r="Q44" s="47" t="s">
        <v>29</v>
      </c>
    </row>
    <row r="45" hidden="1" spans="1:17">
      <c r="A45" s="47" t="s">
        <v>17</v>
      </c>
      <c r="B45" s="48" t="s">
        <v>103</v>
      </c>
      <c r="C45" s="47">
        <v>223843</v>
      </c>
      <c r="D45" s="47" t="s">
        <v>160</v>
      </c>
      <c r="E45" s="47" t="s">
        <v>117</v>
      </c>
      <c r="F45" s="49" t="s">
        <v>161</v>
      </c>
      <c r="G45" s="47" t="s">
        <v>162</v>
      </c>
      <c r="H45" s="47" t="s">
        <v>163</v>
      </c>
      <c r="I45" s="47" t="s">
        <v>135</v>
      </c>
      <c r="J45" s="47" t="s">
        <v>73</v>
      </c>
      <c r="K45" s="54"/>
      <c r="L45" s="47" t="s">
        <v>26</v>
      </c>
      <c r="M45" s="52">
        <f t="shared" si="0"/>
        <v>0</v>
      </c>
      <c r="N45" s="54"/>
      <c r="O45" s="47" t="s">
        <v>154</v>
      </c>
      <c r="P45" s="47" t="s">
        <v>99</v>
      </c>
      <c r="Q45" s="47" t="s">
        <v>33</v>
      </c>
    </row>
    <row r="46" hidden="1" spans="1:17">
      <c r="A46" s="47" t="s">
        <v>17</v>
      </c>
      <c r="B46" s="48" t="s">
        <v>18</v>
      </c>
      <c r="C46" s="47">
        <v>223841</v>
      </c>
      <c r="D46" s="47" t="s">
        <v>146</v>
      </c>
      <c r="E46" s="47" t="s">
        <v>20</v>
      </c>
      <c r="F46" s="49" t="s">
        <v>164</v>
      </c>
      <c r="G46" s="47" t="s">
        <v>165</v>
      </c>
      <c r="H46" s="47" t="s">
        <v>149</v>
      </c>
      <c r="I46" s="47" t="s">
        <v>126</v>
      </c>
      <c r="J46" s="47" t="s">
        <v>25</v>
      </c>
      <c r="K46" s="51">
        <v>25230</v>
      </c>
      <c r="L46" s="47" t="s">
        <v>26</v>
      </c>
      <c r="M46" s="52">
        <f t="shared" si="0"/>
        <v>25230</v>
      </c>
      <c r="N46" s="54"/>
      <c r="O46" s="47" t="s">
        <v>166</v>
      </c>
      <c r="P46" s="47" t="s">
        <v>99</v>
      </c>
      <c r="Q46" s="47" t="s">
        <v>33</v>
      </c>
    </row>
    <row r="47" hidden="1" spans="1:17">
      <c r="A47" s="47" t="s">
        <v>17</v>
      </c>
      <c r="B47" s="48" t="s">
        <v>68</v>
      </c>
      <c r="C47" s="47">
        <v>220414</v>
      </c>
      <c r="D47" s="47" t="s">
        <v>69</v>
      </c>
      <c r="E47" s="47" t="s">
        <v>70</v>
      </c>
      <c r="F47" s="49" t="s">
        <v>167</v>
      </c>
      <c r="G47" s="47" t="s">
        <v>168</v>
      </c>
      <c r="H47" s="47" t="s">
        <v>85</v>
      </c>
      <c r="I47" s="47" t="s">
        <v>86</v>
      </c>
      <c r="J47" s="47" t="s">
        <v>25</v>
      </c>
      <c r="K47" s="51">
        <v>14147727.27</v>
      </c>
      <c r="L47" s="47" t="s">
        <v>26</v>
      </c>
      <c r="M47" s="52">
        <f t="shared" si="0"/>
        <v>14147727.27</v>
      </c>
      <c r="N47" s="53">
        <v>0.12</v>
      </c>
      <c r="O47" s="47" t="s">
        <v>169</v>
      </c>
      <c r="P47" s="47" t="s">
        <v>170</v>
      </c>
      <c r="Q47" s="47" t="s">
        <v>29</v>
      </c>
    </row>
    <row r="48" hidden="1" spans="1:17">
      <c r="A48" s="47" t="s">
        <v>17</v>
      </c>
      <c r="B48" s="48" t="s">
        <v>18</v>
      </c>
      <c r="C48" s="47">
        <v>222301</v>
      </c>
      <c r="D48" s="47" t="s">
        <v>171</v>
      </c>
      <c r="E48" s="47" t="s">
        <v>172</v>
      </c>
      <c r="F48" s="49" t="s">
        <v>173</v>
      </c>
      <c r="G48" s="47" t="s">
        <v>174</v>
      </c>
      <c r="H48" s="47" t="s">
        <v>149</v>
      </c>
      <c r="I48" s="47" t="s">
        <v>126</v>
      </c>
      <c r="J48" s="47" t="s">
        <v>25</v>
      </c>
      <c r="K48" s="51">
        <v>4424877</v>
      </c>
      <c r="L48" s="47" t="s">
        <v>26</v>
      </c>
      <c r="M48" s="52">
        <f t="shared" si="0"/>
        <v>4424877</v>
      </c>
      <c r="N48" s="53">
        <v>0.15252</v>
      </c>
      <c r="O48" s="47" t="s">
        <v>169</v>
      </c>
      <c r="P48" s="47" t="s">
        <v>175</v>
      </c>
      <c r="Q48" s="47" t="s">
        <v>29</v>
      </c>
    </row>
    <row r="49" hidden="1" spans="1:17">
      <c r="A49" s="47" t="s">
        <v>17</v>
      </c>
      <c r="B49" s="48" t="s">
        <v>68</v>
      </c>
      <c r="C49" s="47">
        <v>222327</v>
      </c>
      <c r="D49" s="47" t="s">
        <v>69</v>
      </c>
      <c r="E49" s="47" t="s">
        <v>70</v>
      </c>
      <c r="F49" s="49" t="s">
        <v>167</v>
      </c>
      <c r="G49" s="47" t="s">
        <v>176</v>
      </c>
      <c r="H49" s="47" t="s">
        <v>85</v>
      </c>
      <c r="I49" s="47" t="s">
        <v>86</v>
      </c>
      <c r="J49" s="47" t="s">
        <v>25</v>
      </c>
      <c r="K49" s="51">
        <v>42260353.13</v>
      </c>
      <c r="L49" s="47" t="s">
        <v>26</v>
      </c>
      <c r="M49" s="52">
        <f t="shared" si="0"/>
        <v>42260353.13</v>
      </c>
      <c r="N49" s="53">
        <v>0.11146</v>
      </c>
      <c r="O49" s="47" t="s">
        <v>169</v>
      </c>
      <c r="P49" s="47" t="s">
        <v>177</v>
      </c>
      <c r="Q49" s="47" t="s">
        <v>33</v>
      </c>
    </row>
    <row r="50" hidden="1" spans="1:17">
      <c r="A50" s="47" t="s">
        <v>17</v>
      </c>
      <c r="B50" s="48" t="s">
        <v>68</v>
      </c>
      <c r="C50" s="47">
        <v>222497</v>
      </c>
      <c r="D50" s="47" t="s">
        <v>69</v>
      </c>
      <c r="E50" s="47" t="s">
        <v>70</v>
      </c>
      <c r="F50" s="49" t="s">
        <v>178</v>
      </c>
      <c r="G50" s="47" t="s">
        <v>179</v>
      </c>
      <c r="H50" s="47" t="s">
        <v>149</v>
      </c>
      <c r="I50" s="47" t="s">
        <v>126</v>
      </c>
      <c r="J50" s="47" t="s">
        <v>25</v>
      </c>
      <c r="K50" s="51">
        <v>10053750</v>
      </c>
      <c r="L50" s="47" t="s">
        <v>26</v>
      </c>
      <c r="M50" s="52">
        <f t="shared" si="0"/>
        <v>10053750</v>
      </c>
      <c r="N50" s="53">
        <v>0.1</v>
      </c>
      <c r="O50" s="47" t="s">
        <v>169</v>
      </c>
      <c r="P50" s="47" t="s">
        <v>180</v>
      </c>
      <c r="Q50" s="47" t="s">
        <v>33</v>
      </c>
    </row>
    <row r="51" hidden="1" spans="1:17">
      <c r="A51" s="47" t="s">
        <v>17</v>
      </c>
      <c r="B51" s="48" t="s">
        <v>68</v>
      </c>
      <c r="C51" s="47">
        <v>222690</v>
      </c>
      <c r="D51" s="47" t="s">
        <v>69</v>
      </c>
      <c r="E51" s="47" t="s">
        <v>70</v>
      </c>
      <c r="F51" s="49" t="s">
        <v>181</v>
      </c>
      <c r="G51" s="47" t="s">
        <v>182</v>
      </c>
      <c r="H51" s="47" t="s">
        <v>125</v>
      </c>
      <c r="I51" s="47" t="s">
        <v>135</v>
      </c>
      <c r="J51" s="47" t="s">
        <v>73</v>
      </c>
      <c r="K51" s="51">
        <v>9600000</v>
      </c>
      <c r="L51" s="47" t="s">
        <v>26</v>
      </c>
      <c r="M51" s="52">
        <f t="shared" si="0"/>
        <v>9600000</v>
      </c>
      <c r="N51" s="53">
        <v>0.125</v>
      </c>
      <c r="O51" s="47" t="s">
        <v>169</v>
      </c>
      <c r="P51" s="47" t="s">
        <v>183</v>
      </c>
      <c r="Q51" s="47" t="s">
        <v>33</v>
      </c>
    </row>
    <row r="52" hidden="1" spans="1:17">
      <c r="A52" s="47" t="s">
        <v>17</v>
      </c>
      <c r="B52" s="48" t="s">
        <v>68</v>
      </c>
      <c r="C52" s="47">
        <v>222766</v>
      </c>
      <c r="D52" s="47" t="s">
        <v>69</v>
      </c>
      <c r="E52" s="47" t="s">
        <v>70</v>
      </c>
      <c r="F52" s="49" t="s">
        <v>184</v>
      </c>
      <c r="G52" s="47" t="s">
        <v>185</v>
      </c>
      <c r="H52" s="47" t="s">
        <v>125</v>
      </c>
      <c r="I52" s="47" t="s">
        <v>135</v>
      </c>
      <c r="J52" s="47" t="s">
        <v>25</v>
      </c>
      <c r="K52" s="51">
        <v>1119999.99994624</v>
      </c>
      <c r="L52" s="47" t="s">
        <v>26</v>
      </c>
      <c r="M52" s="52">
        <f t="shared" si="0"/>
        <v>1119999.99994624</v>
      </c>
      <c r="N52" s="53">
        <v>0.10714</v>
      </c>
      <c r="O52" s="47" t="s">
        <v>169</v>
      </c>
      <c r="P52" s="47" t="s">
        <v>186</v>
      </c>
      <c r="Q52" s="47" t="s">
        <v>29</v>
      </c>
    </row>
    <row r="53" hidden="1" spans="1:17">
      <c r="A53" s="47" t="s">
        <v>17</v>
      </c>
      <c r="B53" s="48" t="s">
        <v>68</v>
      </c>
      <c r="C53" s="47">
        <v>222790</v>
      </c>
      <c r="D53" s="47" t="s">
        <v>69</v>
      </c>
      <c r="E53" s="47" t="s">
        <v>70</v>
      </c>
      <c r="F53" s="49" t="s">
        <v>187</v>
      </c>
      <c r="G53" s="47" t="s">
        <v>188</v>
      </c>
      <c r="H53" s="47" t="s">
        <v>85</v>
      </c>
      <c r="I53" s="47" t="s">
        <v>86</v>
      </c>
      <c r="J53" s="47" t="s">
        <v>25</v>
      </c>
      <c r="K53" s="51">
        <v>6375000.00028977</v>
      </c>
      <c r="L53" s="47" t="s">
        <v>26</v>
      </c>
      <c r="M53" s="52">
        <f t="shared" si="0"/>
        <v>6375000.00028977</v>
      </c>
      <c r="N53" s="53">
        <v>0.13725</v>
      </c>
      <c r="O53" s="47" t="s">
        <v>169</v>
      </c>
      <c r="P53" s="47" t="s">
        <v>189</v>
      </c>
      <c r="Q53" s="47" t="s">
        <v>100</v>
      </c>
    </row>
    <row r="54" hidden="1" spans="1:17">
      <c r="A54" s="47" t="s">
        <v>17</v>
      </c>
      <c r="B54" s="48" t="s">
        <v>68</v>
      </c>
      <c r="C54" s="47">
        <v>223446</v>
      </c>
      <c r="D54" s="47" t="s">
        <v>69</v>
      </c>
      <c r="E54" s="47" t="s">
        <v>70</v>
      </c>
      <c r="F54" s="49" t="s">
        <v>83</v>
      </c>
      <c r="G54" s="47" t="s">
        <v>190</v>
      </c>
      <c r="H54" s="47" t="s">
        <v>85</v>
      </c>
      <c r="I54" s="47" t="s">
        <v>86</v>
      </c>
      <c r="J54" s="47" t="s">
        <v>73</v>
      </c>
      <c r="K54" s="51">
        <v>630681.82</v>
      </c>
      <c r="L54" s="47" t="s">
        <v>26</v>
      </c>
      <c r="M54" s="52">
        <f t="shared" si="0"/>
        <v>630681.82</v>
      </c>
      <c r="N54" s="53">
        <v>0.12</v>
      </c>
      <c r="O54" s="47" t="s">
        <v>169</v>
      </c>
      <c r="P54" s="47" t="s">
        <v>191</v>
      </c>
      <c r="Q54" s="47" t="s">
        <v>33</v>
      </c>
    </row>
    <row r="55" hidden="1" spans="1:17">
      <c r="A55" s="47" t="s">
        <v>17</v>
      </c>
      <c r="B55" s="48" t="s">
        <v>68</v>
      </c>
      <c r="C55" s="47">
        <v>223536</v>
      </c>
      <c r="D55" s="47" t="s">
        <v>69</v>
      </c>
      <c r="E55" s="47" t="s">
        <v>70</v>
      </c>
      <c r="F55" s="49" t="s">
        <v>83</v>
      </c>
      <c r="G55" s="47" t="s">
        <v>192</v>
      </c>
      <c r="H55" s="47" t="s">
        <v>85</v>
      </c>
      <c r="I55" s="47" t="s">
        <v>86</v>
      </c>
      <c r="J55" s="47" t="s">
        <v>73</v>
      </c>
      <c r="K55" s="51">
        <v>1477272.73</v>
      </c>
      <c r="L55" s="47" t="s">
        <v>26</v>
      </c>
      <c r="M55" s="52">
        <f t="shared" si="0"/>
        <v>1477272.73</v>
      </c>
      <c r="N55" s="53">
        <v>0.12</v>
      </c>
      <c r="O55" s="47" t="s">
        <v>169</v>
      </c>
      <c r="P55" s="47" t="s">
        <v>193</v>
      </c>
      <c r="Q55" s="47" t="s">
        <v>33</v>
      </c>
    </row>
    <row r="56" hidden="1" spans="1:17">
      <c r="A56" s="47" t="s">
        <v>17</v>
      </c>
      <c r="B56" s="48" t="s">
        <v>34</v>
      </c>
      <c r="C56" s="47">
        <v>223919</v>
      </c>
      <c r="D56" s="47" t="s">
        <v>194</v>
      </c>
      <c r="E56" s="47" t="s">
        <v>49</v>
      </c>
      <c r="F56" s="49" t="s">
        <v>195</v>
      </c>
      <c r="G56" s="47" t="s">
        <v>196</v>
      </c>
      <c r="H56" s="47" t="s">
        <v>134</v>
      </c>
      <c r="I56" s="47" t="s">
        <v>135</v>
      </c>
      <c r="J56" s="47" t="s">
        <v>62</v>
      </c>
      <c r="K56" s="51">
        <v>9599999.99956114</v>
      </c>
      <c r="L56" s="47" t="s">
        <v>26</v>
      </c>
      <c r="M56" s="52">
        <f t="shared" si="0"/>
        <v>9599999.99956114</v>
      </c>
      <c r="N56" s="53">
        <v>0.27083</v>
      </c>
      <c r="O56" s="47" t="s">
        <v>169</v>
      </c>
      <c r="P56" s="47" t="s">
        <v>120</v>
      </c>
      <c r="Q56" s="47" t="s">
        <v>65</v>
      </c>
    </row>
    <row r="57" hidden="1" spans="1:17">
      <c r="A57" s="48" t="s">
        <v>17</v>
      </c>
      <c r="B57" s="48" t="s">
        <v>18</v>
      </c>
      <c r="C57" s="47">
        <v>211539</v>
      </c>
      <c r="D57" s="47" t="s">
        <v>171</v>
      </c>
      <c r="E57" s="47" t="s">
        <v>172</v>
      </c>
      <c r="F57" s="49" t="s">
        <v>197</v>
      </c>
      <c r="G57" s="47" t="s">
        <v>198</v>
      </c>
      <c r="H57" s="47" t="s">
        <v>125</v>
      </c>
      <c r="I57" s="47" t="s">
        <v>135</v>
      </c>
      <c r="J57" s="47" t="s">
        <v>25</v>
      </c>
      <c r="K57" s="51">
        <v>5355854</v>
      </c>
      <c r="L57" s="47" t="s">
        <v>26</v>
      </c>
      <c r="M57" s="52">
        <f t="shared" si="0"/>
        <v>5355854</v>
      </c>
      <c r="N57" s="53">
        <v>0.1598</v>
      </c>
      <c r="O57" s="47" t="s">
        <v>199</v>
      </c>
      <c r="P57" s="47" t="s">
        <v>200</v>
      </c>
      <c r="Q57" s="47" t="s">
        <v>29</v>
      </c>
    </row>
    <row r="58" hidden="1" spans="1:17">
      <c r="A58" s="47" t="s">
        <v>17</v>
      </c>
      <c r="B58" s="48" t="s">
        <v>68</v>
      </c>
      <c r="C58" s="47">
        <v>219996</v>
      </c>
      <c r="D58" s="47" t="s">
        <v>96</v>
      </c>
      <c r="E58" s="47" t="s">
        <v>70</v>
      </c>
      <c r="F58" s="49" t="s">
        <v>201</v>
      </c>
      <c r="G58" s="47" t="s">
        <v>202</v>
      </c>
      <c r="H58" s="47" t="s">
        <v>125</v>
      </c>
      <c r="I58" s="47" t="s">
        <v>126</v>
      </c>
      <c r="J58" s="47" t="s">
        <v>25</v>
      </c>
      <c r="K58" s="51">
        <v>136000000.18</v>
      </c>
      <c r="L58" s="47" t="s">
        <v>26</v>
      </c>
      <c r="M58" s="52">
        <f t="shared" si="0"/>
        <v>136000000.18</v>
      </c>
      <c r="N58" s="53">
        <v>0.11765</v>
      </c>
      <c r="O58" s="47" t="s">
        <v>199</v>
      </c>
      <c r="P58" s="47" t="s">
        <v>203</v>
      </c>
      <c r="Q58" s="47" t="s">
        <v>29</v>
      </c>
    </row>
    <row r="59" hidden="1" spans="1:17">
      <c r="A59" s="47" t="s">
        <v>17</v>
      </c>
      <c r="B59" s="48" t="s">
        <v>68</v>
      </c>
      <c r="C59" s="47">
        <v>222655</v>
      </c>
      <c r="D59" s="47" t="s">
        <v>204</v>
      </c>
      <c r="E59" s="47" t="s">
        <v>70</v>
      </c>
      <c r="F59" s="49" t="s">
        <v>205</v>
      </c>
      <c r="G59" s="47" t="s">
        <v>206</v>
      </c>
      <c r="H59" s="47" t="s">
        <v>163</v>
      </c>
      <c r="I59" s="47" t="s">
        <v>135</v>
      </c>
      <c r="J59" s="47" t="s">
        <v>45</v>
      </c>
      <c r="K59" s="51">
        <v>4500000</v>
      </c>
      <c r="L59" s="47" t="s">
        <v>26</v>
      </c>
      <c r="M59" s="52">
        <f t="shared" si="0"/>
        <v>4500000</v>
      </c>
      <c r="N59" s="54"/>
      <c r="O59" s="47" t="s">
        <v>207</v>
      </c>
      <c r="P59" s="47" t="s">
        <v>208</v>
      </c>
      <c r="Q59" s="47" t="s">
        <v>209</v>
      </c>
    </row>
    <row r="60" hidden="1" spans="1:17">
      <c r="A60" s="47" t="s">
        <v>17</v>
      </c>
      <c r="B60" s="48" t="s">
        <v>40</v>
      </c>
      <c r="C60" s="47">
        <v>223302</v>
      </c>
      <c r="D60" s="47" t="s">
        <v>210</v>
      </c>
      <c r="E60" s="47" t="s">
        <v>42</v>
      </c>
      <c r="F60" s="49" t="s">
        <v>211</v>
      </c>
      <c r="G60" s="47" t="s">
        <v>212</v>
      </c>
      <c r="H60" s="47" t="s">
        <v>125</v>
      </c>
      <c r="I60" s="47" t="s">
        <v>126</v>
      </c>
      <c r="J60" s="47" t="s">
        <v>45</v>
      </c>
      <c r="K60" s="51">
        <v>2500000</v>
      </c>
      <c r="L60" s="47" t="s">
        <v>26</v>
      </c>
      <c r="M60" s="52">
        <f t="shared" si="0"/>
        <v>2500000</v>
      </c>
      <c r="N60" s="53">
        <v>0.2</v>
      </c>
      <c r="O60" s="47" t="s">
        <v>207</v>
      </c>
      <c r="P60" s="47" t="s">
        <v>213</v>
      </c>
      <c r="Q60" s="47" t="s">
        <v>33</v>
      </c>
    </row>
    <row r="61" hidden="1" spans="1:17">
      <c r="A61" s="47" t="s">
        <v>17</v>
      </c>
      <c r="B61" s="48" t="s">
        <v>40</v>
      </c>
      <c r="C61" s="47">
        <v>223517</v>
      </c>
      <c r="D61" s="47" t="s">
        <v>210</v>
      </c>
      <c r="E61" s="47" t="s">
        <v>42</v>
      </c>
      <c r="F61" s="49" t="s">
        <v>214</v>
      </c>
      <c r="G61" s="47" t="s">
        <v>215</v>
      </c>
      <c r="H61" s="47" t="s">
        <v>125</v>
      </c>
      <c r="I61" s="47" t="s">
        <v>135</v>
      </c>
      <c r="J61" s="47" t="s">
        <v>45</v>
      </c>
      <c r="K61" s="51">
        <v>4499999.99994375</v>
      </c>
      <c r="L61" s="47" t="s">
        <v>26</v>
      </c>
      <c r="M61" s="52">
        <f t="shared" si="0"/>
        <v>4499999.99994375</v>
      </c>
      <c r="N61" s="53">
        <v>0.11111</v>
      </c>
      <c r="O61" s="47" t="s">
        <v>207</v>
      </c>
      <c r="P61" s="47" t="s">
        <v>193</v>
      </c>
      <c r="Q61" s="47" t="s">
        <v>33</v>
      </c>
    </row>
    <row r="62" hidden="1" spans="1:17">
      <c r="A62" s="47" t="s">
        <v>17</v>
      </c>
      <c r="B62" s="48" t="s">
        <v>34</v>
      </c>
      <c r="C62" s="47">
        <v>220734</v>
      </c>
      <c r="D62" s="47" t="s">
        <v>35</v>
      </c>
      <c r="E62" s="47" t="s">
        <v>36</v>
      </c>
      <c r="F62" s="49" t="s">
        <v>216</v>
      </c>
      <c r="G62" s="47" t="s">
        <v>217</v>
      </c>
      <c r="H62" s="47" t="s">
        <v>125</v>
      </c>
      <c r="I62" s="47" t="s">
        <v>135</v>
      </c>
      <c r="J62" s="47" t="s">
        <v>25</v>
      </c>
      <c r="K62" s="51">
        <v>1500000</v>
      </c>
      <c r="L62" s="47" t="s">
        <v>26</v>
      </c>
      <c r="M62" s="52">
        <f t="shared" si="0"/>
        <v>1500000</v>
      </c>
      <c r="N62" s="53">
        <v>0.2</v>
      </c>
      <c r="O62" s="47" t="s">
        <v>218</v>
      </c>
      <c r="P62" s="47" t="s">
        <v>219</v>
      </c>
      <c r="Q62" s="47" t="s">
        <v>100</v>
      </c>
    </row>
    <row r="63" hidden="1" spans="1:17">
      <c r="A63" s="47" t="s">
        <v>17</v>
      </c>
      <c r="B63" s="48" t="s">
        <v>103</v>
      </c>
      <c r="C63" s="47">
        <v>216404</v>
      </c>
      <c r="D63" s="47" t="s">
        <v>104</v>
      </c>
      <c r="E63" s="47" t="s">
        <v>105</v>
      </c>
      <c r="F63" s="49" t="s">
        <v>220</v>
      </c>
      <c r="G63" s="47" t="s">
        <v>221</v>
      </c>
      <c r="H63" s="47" t="s">
        <v>125</v>
      </c>
      <c r="I63" s="47" t="s">
        <v>135</v>
      </c>
      <c r="J63" s="47" t="s">
        <v>25</v>
      </c>
      <c r="K63" s="51">
        <v>5176470.59</v>
      </c>
      <c r="L63" s="47" t="s">
        <v>26</v>
      </c>
      <c r="M63" s="52">
        <f t="shared" si="0"/>
        <v>5176470.59</v>
      </c>
      <c r="N63" s="53">
        <v>0.15</v>
      </c>
      <c r="O63" s="47" t="s">
        <v>222</v>
      </c>
      <c r="P63" s="47" t="s">
        <v>223</v>
      </c>
      <c r="Q63" s="47" t="s">
        <v>33</v>
      </c>
    </row>
    <row r="64" hidden="1" spans="1:17">
      <c r="A64" s="47" t="s">
        <v>17</v>
      </c>
      <c r="B64" s="48" t="s">
        <v>34</v>
      </c>
      <c r="C64" s="47">
        <v>220538</v>
      </c>
      <c r="D64" s="47" t="s">
        <v>35</v>
      </c>
      <c r="E64" s="47" t="s">
        <v>36</v>
      </c>
      <c r="F64" s="49" t="s">
        <v>224</v>
      </c>
      <c r="G64" s="47" t="s">
        <v>225</v>
      </c>
      <c r="H64" s="47" t="s">
        <v>125</v>
      </c>
      <c r="I64" s="47" t="s">
        <v>135</v>
      </c>
      <c r="J64" s="47" t="s">
        <v>25</v>
      </c>
      <c r="K64" s="51">
        <v>800000</v>
      </c>
      <c r="L64" s="47" t="s">
        <v>26</v>
      </c>
      <c r="M64" s="52">
        <f t="shared" si="0"/>
        <v>800000</v>
      </c>
      <c r="N64" s="53">
        <v>0.125</v>
      </c>
      <c r="O64" s="47" t="s">
        <v>222</v>
      </c>
      <c r="P64" s="47" t="s">
        <v>226</v>
      </c>
      <c r="Q64" s="47" t="s">
        <v>29</v>
      </c>
    </row>
    <row r="65" hidden="1" spans="1:17">
      <c r="A65" s="47" t="s">
        <v>17</v>
      </c>
      <c r="B65" s="48" t="s">
        <v>18</v>
      </c>
      <c r="C65" s="47">
        <v>223300</v>
      </c>
      <c r="D65" s="47" t="s">
        <v>19</v>
      </c>
      <c r="E65" s="47" t="s">
        <v>20</v>
      </c>
      <c r="F65" s="49" t="s">
        <v>30</v>
      </c>
      <c r="G65" s="47" t="s">
        <v>227</v>
      </c>
      <c r="H65" s="47" t="s">
        <v>149</v>
      </c>
      <c r="I65" s="47" t="s">
        <v>86</v>
      </c>
      <c r="J65" s="47" t="s">
        <v>25</v>
      </c>
      <c r="K65" s="51">
        <v>7699999.999923</v>
      </c>
      <c r="L65" s="47" t="s">
        <v>26</v>
      </c>
      <c r="M65" s="52">
        <f t="shared" si="0"/>
        <v>7699999.999923</v>
      </c>
      <c r="N65" s="53">
        <v>0.09091</v>
      </c>
      <c r="O65" s="47" t="s">
        <v>222</v>
      </c>
      <c r="P65" s="47" t="s">
        <v>64</v>
      </c>
      <c r="Q65" s="47" t="s">
        <v>33</v>
      </c>
    </row>
    <row r="66" hidden="1" spans="1:17">
      <c r="A66" s="47" t="s">
        <v>17</v>
      </c>
      <c r="B66" s="48" t="s">
        <v>40</v>
      </c>
      <c r="C66" s="47">
        <v>220119</v>
      </c>
      <c r="D66" s="47" t="s">
        <v>122</v>
      </c>
      <c r="E66" s="47" t="s">
        <v>42</v>
      </c>
      <c r="F66" s="49" t="s">
        <v>228</v>
      </c>
      <c r="G66" s="47" t="s">
        <v>229</v>
      </c>
      <c r="H66" s="47" t="s">
        <v>149</v>
      </c>
      <c r="I66" s="47" t="s">
        <v>126</v>
      </c>
      <c r="J66" s="47" t="s">
        <v>45</v>
      </c>
      <c r="K66" s="51">
        <v>3500000</v>
      </c>
      <c r="L66" s="47" t="s">
        <v>26</v>
      </c>
      <c r="M66" s="52">
        <f t="shared" si="0"/>
        <v>3500000</v>
      </c>
      <c r="N66" s="53">
        <v>0.15714</v>
      </c>
      <c r="O66" s="47" t="s">
        <v>230</v>
      </c>
      <c r="P66" s="47" t="s">
        <v>231</v>
      </c>
      <c r="Q66" s="47" t="s">
        <v>209</v>
      </c>
    </row>
    <row r="67" hidden="1" spans="1:17">
      <c r="A67" s="47" t="s">
        <v>17</v>
      </c>
      <c r="B67" s="48" t="s">
        <v>18</v>
      </c>
      <c r="C67" s="47">
        <v>220446</v>
      </c>
      <c r="D67" s="47" t="s">
        <v>59</v>
      </c>
      <c r="E67" s="47" t="s">
        <v>20</v>
      </c>
      <c r="F67" s="49" t="s">
        <v>232</v>
      </c>
      <c r="G67" s="47" t="s">
        <v>233</v>
      </c>
      <c r="H67" s="47" t="s">
        <v>134</v>
      </c>
      <c r="I67" s="47" t="s">
        <v>126</v>
      </c>
      <c r="J67" s="47" t="s">
        <v>45</v>
      </c>
      <c r="K67" s="51">
        <v>3200000</v>
      </c>
      <c r="L67" s="47" t="s">
        <v>26</v>
      </c>
      <c r="M67" s="52">
        <f t="shared" ref="M67:M121" si="1">K67</f>
        <v>3200000</v>
      </c>
      <c r="N67" s="53">
        <v>0.2</v>
      </c>
      <c r="O67" s="47" t="s">
        <v>230</v>
      </c>
      <c r="P67" s="47" t="s">
        <v>170</v>
      </c>
      <c r="Q67" s="47" t="s">
        <v>65</v>
      </c>
    </row>
    <row r="68" hidden="1" spans="1:17">
      <c r="A68" s="47" t="s">
        <v>17</v>
      </c>
      <c r="B68" s="48" t="s">
        <v>40</v>
      </c>
      <c r="C68" s="47">
        <v>222116</v>
      </c>
      <c r="D68" s="47" t="s">
        <v>122</v>
      </c>
      <c r="E68" s="47" t="s">
        <v>42</v>
      </c>
      <c r="F68" s="49" t="s">
        <v>234</v>
      </c>
      <c r="G68" s="47" t="s">
        <v>235</v>
      </c>
      <c r="H68" s="47" t="s">
        <v>125</v>
      </c>
      <c r="I68" s="47" t="s">
        <v>135</v>
      </c>
      <c r="J68" s="47" t="s">
        <v>45</v>
      </c>
      <c r="K68" s="51">
        <v>13636363.64</v>
      </c>
      <c r="L68" s="47" t="s">
        <v>26</v>
      </c>
      <c r="M68" s="52">
        <f t="shared" si="1"/>
        <v>13636363.64</v>
      </c>
      <c r="N68" s="53">
        <v>0.12</v>
      </c>
      <c r="O68" s="47" t="s">
        <v>230</v>
      </c>
      <c r="P68" s="47" t="s">
        <v>236</v>
      </c>
      <c r="Q68" s="47" t="s">
        <v>29</v>
      </c>
    </row>
    <row r="69" hidden="1" spans="1:17">
      <c r="A69" s="47" t="s">
        <v>17</v>
      </c>
      <c r="B69" s="48" t="s">
        <v>40</v>
      </c>
      <c r="C69" s="47">
        <v>220686</v>
      </c>
      <c r="D69" s="47" t="s">
        <v>41</v>
      </c>
      <c r="E69" s="47" t="s">
        <v>42</v>
      </c>
      <c r="F69" s="49" t="s">
        <v>237</v>
      </c>
      <c r="G69" s="47" t="s">
        <v>238</v>
      </c>
      <c r="H69" s="47" t="s">
        <v>85</v>
      </c>
      <c r="I69" s="47" t="s">
        <v>86</v>
      </c>
      <c r="J69" s="47" t="s">
        <v>45</v>
      </c>
      <c r="K69" s="51">
        <v>700000</v>
      </c>
      <c r="L69" s="47" t="s">
        <v>26</v>
      </c>
      <c r="M69" s="52">
        <f t="shared" si="1"/>
        <v>700000</v>
      </c>
      <c r="N69" s="53">
        <v>0.15</v>
      </c>
      <c r="O69" s="47" t="s">
        <v>239</v>
      </c>
      <c r="P69" s="47" t="s">
        <v>240</v>
      </c>
      <c r="Q69" s="47" t="s">
        <v>29</v>
      </c>
    </row>
    <row r="70" hidden="1" spans="1:17">
      <c r="A70" s="48" t="s">
        <v>17</v>
      </c>
      <c r="B70" s="47" t="s">
        <v>241</v>
      </c>
      <c r="C70" s="47">
        <v>211082</v>
      </c>
      <c r="D70" s="47" t="s">
        <v>160</v>
      </c>
      <c r="E70" s="47" t="s">
        <v>117</v>
      </c>
      <c r="F70" s="49" t="s">
        <v>161</v>
      </c>
      <c r="G70" s="47" t="s">
        <v>242</v>
      </c>
      <c r="H70" s="47" t="s">
        <v>125</v>
      </c>
      <c r="I70" s="47" t="s">
        <v>135</v>
      </c>
      <c r="J70" s="47" t="s">
        <v>25</v>
      </c>
      <c r="K70" s="51">
        <v>8965517.25</v>
      </c>
      <c r="L70" s="47" t="s">
        <v>26</v>
      </c>
      <c r="M70" s="52">
        <f t="shared" si="1"/>
        <v>8965517.25</v>
      </c>
      <c r="N70" s="53">
        <v>0.13</v>
      </c>
      <c r="O70" s="47" t="s">
        <v>243</v>
      </c>
      <c r="P70" s="47" t="s">
        <v>244</v>
      </c>
      <c r="Q70" s="47" t="s">
        <v>100</v>
      </c>
    </row>
    <row r="71" hidden="1" spans="1:17">
      <c r="A71" s="47" t="s">
        <v>17</v>
      </c>
      <c r="B71" s="48" t="s">
        <v>18</v>
      </c>
      <c r="C71" s="47">
        <v>220527</v>
      </c>
      <c r="D71" s="47" t="s">
        <v>146</v>
      </c>
      <c r="E71" s="47" t="s">
        <v>20</v>
      </c>
      <c r="F71" s="49" t="s">
        <v>245</v>
      </c>
      <c r="G71" s="47" t="s">
        <v>246</v>
      </c>
      <c r="H71" s="47" t="s">
        <v>125</v>
      </c>
      <c r="I71" s="47" t="s">
        <v>135</v>
      </c>
      <c r="J71" s="47" t="s">
        <v>25</v>
      </c>
      <c r="K71" s="51">
        <v>550000</v>
      </c>
      <c r="L71" s="47" t="s">
        <v>26</v>
      </c>
      <c r="M71" s="52">
        <f t="shared" si="1"/>
        <v>550000</v>
      </c>
      <c r="N71" s="53">
        <v>0</v>
      </c>
      <c r="O71" s="47" t="s">
        <v>247</v>
      </c>
      <c r="P71" s="47" t="s">
        <v>226</v>
      </c>
      <c r="Q71" s="47" t="s">
        <v>29</v>
      </c>
    </row>
    <row r="72" hidden="1" spans="1:17">
      <c r="A72" s="47" t="s">
        <v>17</v>
      </c>
      <c r="B72" s="48" t="s">
        <v>18</v>
      </c>
      <c r="C72" s="47">
        <v>220687</v>
      </c>
      <c r="D72" s="47" t="s">
        <v>146</v>
      </c>
      <c r="E72" s="47" t="s">
        <v>20</v>
      </c>
      <c r="F72" s="49" t="s">
        <v>245</v>
      </c>
      <c r="G72" s="47" t="s">
        <v>248</v>
      </c>
      <c r="H72" s="47" t="s">
        <v>149</v>
      </c>
      <c r="I72" s="47" t="s">
        <v>86</v>
      </c>
      <c r="J72" s="47" t="s">
        <v>25</v>
      </c>
      <c r="K72" s="51">
        <v>1000000</v>
      </c>
      <c r="L72" s="47" t="s">
        <v>26</v>
      </c>
      <c r="M72" s="52">
        <f t="shared" si="1"/>
        <v>1000000</v>
      </c>
      <c r="N72" s="54"/>
      <c r="O72" s="47" t="s">
        <v>247</v>
      </c>
      <c r="P72" s="47" t="s">
        <v>240</v>
      </c>
      <c r="Q72" s="47" t="s">
        <v>29</v>
      </c>
    </row>
    <row r="73" hidden="1" spans="1:17">
      <c r="A73" s="47" t="s">
        <v>17</v>
      </c>
      <c r="B73" s="48" t="s">
        <v>18</v>
      </c>
      <c r="C73" s="47">
        <v>220688</v>
      </c>
      <c r="D73" s="47" t="s">
        <v>146</v>
      </c>
      <c r="E73" s="47" t="s">
        <v>20</v>
      </c>
      <c r="F73" s="49" t="s">
        <v>245</v>
      </c>
      <c r="G73" s="47" t="s">
        <v>249</v>
      </c>
      <c r="H73" s="47" t="s">
        <v>149</v>
      </c>
      <c r="I73" s="47" t="s">
        <v>86</v>
      </c>
      <c r="J73" s="47" t="s">
        <v>25</v>
      </c>
      <c r="K73" s="51">
        <v>658823.53</v>
      </c>
      <c r="L73" s="47" t="s">
        <v>26</v>
      </c>
      <c r="M73" s="52">
        <f t="shared" si="1"/>
        <v>658823.53</v>
      </c>
      <c r="N73" s="53">
        <v>0.15</v>
      </c>
      <c r="O73" s="47" t="s">
        <v>247</v>
      </c>
      <c r="P73" s="47" t="s">
        <v>240</v>
      </c>
      <c r="Q73" s="47" t="s">
        <v>29</v>
      </c>
    </row>
    <row r="74" hidden="1" spans="1:17">
      <c r="A74" s="47" t="s">
        <v>17</v>
      </c>
      <c r="B74" s="48" t="s">
        <v>18</v>
      </c>
      <c r="C74" s="47">
        <v>220706</v>
      </c>
      <c r="D74" s="47" t="s">
        <v>146</v>
      </c>
      <c r="E74" s="47" t="s">
        <v>20</v>
      </c>
      <c r="F74" s="49" t="s">
        <v>250</v>
      </c>
      <c r="G74" s="47" t="s">
        <v>251</v>
      </c>
      <c r="H74" s="47" t="s">
        <v>125</v>
      </c>
      <c r="I74" s="47" t="s">
        <v>135</v>
      </c>
      <c r="J74" s="47" t="s">
        <v>25</v>
      </c>
      <c r="K74" s="51">
        <v>518600</v>
      </c>
      <c r="L74" s="47" t="s">
        <v>26</v>
      </c>
      <c r="M74" s="52">
        <f t="shared" si="1"/>
        <v>518600</v>
      </c>
      <c r="N74" s="54"/>
      <c r="O74" s="47" t="s">
        <v>247</v>
      </c>
      <c r="P74" s="47" t="s">
        <v>219</v>
      </c>
      <c r="Q74" s="47" t="s">
        <v>29</v>
      </c>
    </row>
    <row r="75" hidden="1" spans="1:17">
      <c r="A75" s="47" t="s">
        <v>17</v>
      </c>
      <c r="B75" s="48" t="s">
        <v>34</v>
      </c>
      <c r="C75" s="47">
        <v>213981</v>
      </c>
      <c r="D75" s="47" t="s">
        <v>252</v>
      </c>
      <c r="E75" s="47" t="s">
        <v>36</v>
      </c>
      <c r="F75" s="49" t="s">
        <v>253</v>
      </c>
      <c r="G75" s="47" t="s">
        <v>254</v>
      </c>
      <c r="H75" s="47" t="s">
        <v>125</v>
      </c>
      <c r="I75" s="47" t="s">
        <v>135</v>
      </c>
      <c r="J75" s="47" t="s">
        <v>45</v>
      </c>
      <c r="K75" s="51">
        <v>8992805.75</v>
      </c>
      <c r="L75" s="47" t="s">
        <v>26</v>
      </c>
      <c r="M75" s="52">
        <f t="shared" si="1"/>
        <v>8992805.75</v>
      </c>
      <c r="N75" s="53">
        <v>0.166</v>
      </c>
      <c r="O75" s="47" t="s">
        <v>255</v>
      </c>
      <c r="P75" s="47" t="s">
        <v>28</v>
      </c>
      <c r="Q75" s="47" t="s">
        <v>29</v>
      </c>
    </row>
    <row r="76" hidden="1" spans="1:17">
      <c r="A76" s="47" t="s">
        <v>17</v>
      </c>
      <c r="B76" s="48" t="s">
        <v>34</v>
      </c>
      <c r="C76" s="47">
        <v>213986</v>
      </c>
      <c r="D76" s="47" t="s">
        <v>252</v>
      </c>
      <c r="E76" s="47" t="s">
        <v>36</v>
      </c>
      <c r="F76" s="49" t="s">
        <v>253</v>
      </c>
      <c r="G76" s="47" t="s">
        <v>256</v>
      </c>
      <c r="H76" s="47" t="s">
        <v>125</v>
      </c>
      <c r="I76" s="47" t="s">
        <v>135</v>
      </c>
      <c r="J76" s="47" t="s">
        <v>45</v>
      </c>
      <c r="K76" s="51">
        <v>42941176.47</v>
      </c>
      <c r="L76" s="47" t="s">
        <v>26</v>
      </c>
      <c r="M76" s="52">
        <f t="shared" si="1"/>
        <v>42941176.47</v>
      </c>
      <c r="N76" s="53">
        <v>0.15</v>
      </c>
      <c r="O76" s="47" t="s">
        <v>255</v>
      </c>
      <c r="P76" s="47" t="s">
        <v>28</v>
      </c>
      <c r="Q76" s="47" t="s">
        <v>33</v>
      </c>
    </row>
    <row r="77" hidden="1" spans="1:17">
      <c r="A77" s="47" t="s">
        <v>17</v>
      </c>
      <c r="B77" s="48" t="s">
        <v>40</v>
      </c>
      <c r="C77" s="47">
        <v>216391</v>
      </c>
      <c r="D77" s="47" t="s">
        <v>122</v>
      </c>
      <c r="E77" s="47" t="s">
        <v>42</v>
      </c>
      <c r="F77" s="49" t="s">
        <v>257</v>
      </c>
      <c r="G77" s="47" t="s">
        <v>258</v>
      </c>
      <c r="H77" s="47" t="s">
        <v>125</v>
      </c>
      <c r="I77" s="47" t="s">
        <v>135</v>
      </c>
      <c r="J77" s="47" t="s">
        <v>45</v>
      </c>
      <c r="K77" s="51">
        <v>10000000</v>
      </c>
      <c r="L77" s="47" t="s">
        <v>26</v>
      </c>
      <c r="M77" s="52">
        <f t="shared" si="1"/>
        <v>10000000</v>
      </c>
      <c r="N77" s="53">
        <v>0.145</v>
      </c>
      <c r="O77" s="47" t="s">
        <v>255</v>
      </c>
      <c r="P77" s="47" t="s">
        <v>127</v>
      </c>
      <c r="Q77" s="47" t="s">
        <v>259</v>
      </c>
    </row>
    <row r="78" hidden="1" spans="1:17">
      <c r="A78" s="47" t="s">
        <v>17</v>
      </c>
      <c r="B78" s="48" t="s">
        <v>40</v>
      </c>
      <c r="C78" s="47">
        <v>216370</v>
      </c>
      <c r="D78" s="47" t="s">
        <v>122</v>
      </c>
      <c r="E78" s="47" t="s">
        <v>42</v>
      </c>
      <c r="F78" s="49" t="s">
        <v>123</v>
      </c>
      <c r="G78" s="47" t="s">
        <v>260</v>
      </c>
      <c r="H78" s="47" t="s">
        <v>125</v>
      </c>
      <c r="I78" s="47" t="s">
        <v>126</v>
      </c>
      <c r="J78" s="47" t="s">
        <v>45</v>
      </c>
      <c r="K78" s="51">
        <v>5500000</v>
      </c>
      <c r="L78" s="47" t="s">
        <v>26</v>
      </c>
      <c r="M78" s="52">
        <f t="shared" si="1"/>
        <v>5500000</v>
      </c>
      <c r="N78" s="53">
        <v>0.14545</v>
      </c>
      <c r="O78" s="47" t="s">
        <v>261</v>
      </c>
      <c r="P78" s="47" t="s">
        <v>127</v>
      </c>
      <c r="Q78" s="47" t="s">
        <v>33</v>
      </c>
    </row>
    <row r="79" hidden="1" spans="1:17">
      <c r="A79" s="47" t="s">
        <v>17</v>
      </c>
      <c r="B79" s="48" t="s">
        <v>18</v>
      </c>
      <c r="C79" s="47">
        <v>220406</v>
      </c>
      <c r="D79" s="47" t="s">
        <v>19</v>
      </c>
      <c r="E79" s="47" t="s">
        <v>20</v>
      </c>
      <c r="F79" s="49" t="s">
        <v>262</v>
      </c>
      <c r="G79" s="47" t="s">
        <v>263</v>
      </c>
      <c r="H79" s="47" t="s">
        <v>149</v>
      </c>
      <c r="I79" s="47" t="s">
        <v>126</v>
      </c>
      <c r="J79" s="47" t="s">
        <v>25</v>
      </c>
      <c r="K79" s="51">
        <v>800000</v>
      </c>
      <c r="L79" s="47" t="s">
        <v>26</v>
      </c>
      <c r="M79" s="52">
        <f t="shared" si="1"/>
        <v>800000</v>
      </c>
      <c r="N79" s="53">
        <v>0.125</v>
      </c>
      <c r="O79" s="47" t="s">
        <v>261</v>
      </c>
      <c r="P79" s="47" t="s">
        <v>170</v>
      </c>
      <c r="Q79" s="47" t="s">
        <v>100</v>
      </c>
    </row>
    <row r="80" hidden="1" spans="1:17">
      <c r="A80" s="47" t="s">
        <v>17</v>
      </c>
      <c r="B80" s="48" t="s">
        <v>40</v>
      </c>
      <c r="C80" s="47">
        <v>223022</v>
      </c>
      <c r="D80" s="47" t="s">
        <v>41</v>
      </c>
      <c r="E80" s="47" t="s">
        <v>42</v>
      </c>
      <c r="F80" s="49" t="s">
        <v>264</v>
      </c>
      <c r="G80" s="47" t="s">
        <v>265</v>
      </c>
      <c r="H80" s="47" t="s">
        <v>163</v>
      </c>
      <c r="I80" s="47" t="s">
        <v>135</v>
      </c>
      <c r="J80" s="47" t="s">
        <v>45</v>
      </c>
      <c r="K80" s="51">
        <v>4500000</v>
      </c>
      <c r="L80" s="47" t="s">
        <v>26</v>
      </c>
      <c r="M80" s="52">
        <f t="shared" si="1"/>
        <v>4500000</v>
      </c>
      <c r="N80" s="54"/>
      <c r="O80" s="47" t="s">
        <v>261</v>
      </c>
      <c r="P80" s="47" t="s">
        <v>266</v>
      </c>
      <c r="Q80" s="47" t="s">
        <v>29</v>
      </c>
    </row>
    <row r="81" hidden="1" spans="1:17">
      <c r="A81" s="47" t="s">
        <v>17</v>
      </c>
      <c r="B81" s="48" t="s">
        <v>40</v>
      </c>
      <c r="C81" s="47">
        <v>216418</v>
      </c>
      <c r="D81" s="47" t="s">
        <v>41</v>
      </c>
      <c r="E81" s="47" t="s">
        <v>42</v>
      </c>
      <c r="F81" s="49" t="s">
        <v>267</v>
      </c>
      <c r="G81" s="47" t="s">
        <v>268</v>
      </c>
      <c r="H81" s="47" t="s">
        <v>125</v>
      </c>
      <c r="I81" s="47" t="s">
        <v>126</v>
      </c>
      <c r="J81" s="47" t="s">
        <v>45</v>
      </c>
      <c r="K81" s="51">
        <v>5000000</v>
      </c>
      <c r="L81" s="47" t="s">
        <v>26</v>
      </c>
      <c r="M81" s="52">
        <f t="shared" si="1"/>
        <v>5000000</v>
      </c>
      <c r="N81" s="53">
        <v>0.2</v>
      </c>
      <c r="O81" s="47" t="s">
        <v>269</v>
      </c>
      <c r="P81" s="47" t="s">
        <v>270</v>
      </c>
      <c r="Q81" s="47" t="s">
        <v>33</v>
      </c>
    </row>
    <row r="82" hidden="1" spans="1:17">
      <c r="A82" s="47" t="s">
        <v>17</v>
      </c>
      <c r="B82" s="48" t="s">
        <v>68</v>
      </c>
      <c r="C82" s="47">
        <v>220003</v>
      </c>
      <c r="D82" s="47" t="s">
        <v>69</v>
      </c>
      <c r="E82" s="47" t="s">
        <v>70</v>
      </c>
      <c r="F82" s="49" t="s">
        <v>271</v>
      </c>
      <c r="G82" s="47" t="s">
        <v>272</v>
      </c>
      <c r="H82" s="47" t="s">
        <v>125</v>
      </c>
      <c r="I82" s="47" t="s">
        <v>126</v>
      </c>
      <c r="J82" s="47" t="s">
        <v>25</v>
      </c>
      <c r="K82" s="51">
        <v>32971428.56</v>
      </c>
      <c r="L82" s="47" t="s">
        <v>26</v>
      </c>
      <c r="M82" s="52">
        <f t="shared" si="1"/>
        <v>32971428.56</v>
      </c>
      <c r="N82" s="53">
        <v>0.125</v>
      </c>
      <c r="O82" s="47" t="s">
        <v>269</v>
      </c>
      <c r="P82" s="47" t="s">
        <v>203</v>
      </c>
      <c r="Q82" s="47" t="s">
        <v>100</v>
      </c>
    </row>
    <row r="83" hidden="1" spans="1:17">
      <c r="A83" s="47" t="s">
        <v>17</v>
      </c>
      <c r="B83" s="48" t="s">
        <v>68</v>
      </c>
      <c r="C83" s="47">
        <v>220014</v>
      </c>
      <c r="D83" s="47" t="s">
        <v>69</v>
      </c>
      <c r="E83" s="47" t="s">
        <v>70</v>
      </c>
      <c r="F83" s="49" t="s">
        <v>273</v>
      </c>
      <c r="G83" s="47" t="s">
        <v>274</v>
      </c>
      <c r="H83" s="47" t="s">
        <v>163</v>
      </c>
      <c r="I83" s="47" t="s">
        <v>126</v>
      </c>
      <c r="J83" s="47" t="s">
        <v>25</v>
      </c>
      <c r="K83" s="51">
        <v>2000000</v>
      </c>
      <c r="L83" s="47" t="s">
        <v>26</v>
      </c>
      <c r="M83" s="52">
        <f t="shared" si="1"/>
        <v>2000000</v>
      </c>
      <c r="N83" s="53">
        <v>0.125</v>
      </c>
      <c r="O83" s="47" t="s">
        <v>269</v>
      </c>
      <c r="P83" s="47" t="s">
        <v>203</v>
      </c>
      <c r="Q83" s="47" t="s">
        <v>33</v>
      </c>
    </row>
    <row r="84" hidden="1" spans="1:17">
      <c r="A84" s="47" t="s">
        <v>17</v>
      </c>
      <c r="B84" s="48" t="s">
        <v>18</v>
      </c>
      <c r="C84" s="47">
        <v>220459</v>
      </c>
      <c r="D84" s="47" t="s">
        <v>275</v>
      </c>
      <c r="E84" s="47" t="s">
        <v>20</v>
      </c>
      <c r="F84" s="49" t="s">
        <v>276</v>
      </c>
      <c r="G84" s="47" t="s">
        <v>277</v>
      </c>
      <c r="H84" s="47" t="s">
        <v>125</v>
      </c>
      <c r="I84" s="47" t="s">
        <v>135</v>
      </c>
      <c r="J84" s="47" t="s">
        <v>25</v>
      </c>
      <c r="K84" s="51">
        <v>44000000</v>
      </c>
      <c r="L84" s="47" t="s">
        <v>26</v>
      </c>
      <c r="M84" s="52">
        <f t="shared" si="1"/>
        <v>44000000</v>
      </c>
      <c r="N84" s="53">
        <v>0.0909090909</v>
      </c>
      <c r="O84" s="47" t="s">
        <v>269</v>
      </c>
      <c r="P84" s="47" t="s">
        <v>170</v>
      </c>
      <c r="Q84" s="47" t="s">
        <v>209</v>
      </c>
    </row>
    <row r="85" hidden="1" spans="1:17">
      <c r="A85" s="47" t="s">
        <v>17</v>
      </c>
      <c r="B85" s="48" t="s">
        <v>34</v>
      </c>
      <c r="C85" s="47">
        <v>220469</v>
      </c>
      <c r="D85" s="47" t="s">
        <v>278</v>
      </c>
      <c r="E85" s="47" t="s">
        <v>36</v>
      </c>
      <c r="F85" s="49" t="s">
        <v>279</v>
      </c>
      <c r="G85" s="47" t="s">
        <v>280</v>
      </c>
      <c r="H85" s="47" t="s">
        <v>125</v>
      </c>
      <c r="I85" s="47" t="s">
        <v>135</v>
      </c>
      <c r="J85" s="47" t="s">
        <v>25</v>
      </c>
      <c r="K85" s="51">
        <v>50000000</v>
      </c>
      <c r="L85" s="47" t="s">
        <v>26</v>
      </c>
      <c r="M85" s="52">
        <f t="shared" si="1"/>
        <v>50000000</v>
      </c>
      <c r="N85" s="53">
        <v>0.1</v>
      </c>
      <c r="O85" s="47" t="s">
        <v>269</v>
      </c>
      <c r="P85" s="47" t="s">
        <v>170</v>
      </c>
      <c r="Q85" s="47" t="s">
        <v>100</v>
      </c>
    </row>
    <row r="86" hidden="1" spans="1:17">
      <c r="A86" s="47" t="s">
        <v>17</v>
      </c>
      <c r="B86" s="48" t="s">
        <v>68</v>
      </c>
      <c r="C86" s="47">
        <v>220499</v>
      </c>
      <c r="D86" s="47" t="s">
        <v>281</v>
      </c>
      <c r="E86" s="47" t="s">
        <v>70</v>
      </c>
      <c r="F86" s="49" t="s">
        <v>282</v>
      </c>
      <c r="G86" s="47" t="s">
        <v>283</v>
      </c>
      <c r="H86" s="47" t="s">
        <v>149</v>
      </c>
      <c r="I86" s="47" t="s">
        <v>126</v>
      </c>
      <c r="J86" s="47" t="s">
        <v>25</v>
      </c>
      <c r="K86" s="51">
        <v>1000000</v>
      </c>
      <c r="L86" s="47" t="s">
        <v>26</v>
      </c>
      <c r="M86" s="52">
        <f t="shared" si="1"/>
        <v>1000000</v>
      </c>
      <c r="N86" s="53">
        <v>0.15</v>
      </c>
      <c r="O86" s="47" t="s">
        <v>269</v>
      </c>
      <c r="P86" s="47" t="s">
        <v>170</v>
      </c>
      <c r="Q86" s="47" t="s">
        <v>209</v>
      </c>
    </row>
    <row r="87" hidden="1" spans="1:17">
      <c r="A87" s="47" t="s">
        <v>17</v>
      </c>
      <c r="B87" s="48" t="s">
        <v>68</v>
      </c>
      <c r="C87" s="47">
        <v>220502</v>
      </c>
      <c r="D87" s="47" t="s">
        <v>281</v>
      </c>
      <c r="E87" s="47" t="s">
        <v>70</v>
      </c>
      <c r="F87" s="49" t="s">
        <v>284</v>
      </c>
      <c r="G87" s="47" t="s">
        <v>283</v>
      </c>
      <c r="H87" s="47" t="s">
        <v>163</v>
      </c>
      <c r="I87" s="47" t="s">
        <v>135</v>
      </c>
      <c r="J87" s="47" t="s">
        <v>25</v>
      </c>
      <c r="K87" s="51">
        <v>3000000</v>
      </c>
      <c r="L87" s="47" t="s">
        <v>26</v>
      </c>
      <c r="M87" s="52">
        <f t="shared" si="1"/>
        <v>3000000</v>
      </c>
      <c r="N87" s="53">
        <v>0.2</v>
      </c>
      <c r="O87" s="47" t="s">
        <v>269</v>
      </c>
      <c r="P87" s="47" t="s">
        <v>170</v>
      </c>
      <c r="Q87" s="47" t="s">
        <v>209</v>
      </c>
    </row>
    <row r="88" hidden="1" spans="1:17">
      <c r="A88" s="47" t="s">
        <v>17</v>
      </c>
      <c r="B88" s="48" t="s">
        <v>68</v>
      </c>
      <c r="C88" s="47">
        <v>220509</v>
      </c>
      <c r="D88" s="47" t="s">
        <v>204</v>
      </c>
      <c r="E88" s="47" t="s">
        <v>70</v>
      </c>
      <c r="F88" s="49" t="s">
        <v>285</v>
      </c>
      <c r="G88" s="47" t="s">
        <v>286</v>
      </c>
      <c r="H88" s="47" t="s">
        <v>134</v>
      </c>
      <c r="I88" s="47" t="s">
        <v>135</v>
      </c>
      <c r="J88" s="47" t="s">
        <v>45</v>
      </c>
      <c r="K88" s="51">
        <v>150000000.006818</v>
      </c>
      <c r="L88" s="47" t="s">
        <v>26</v>
      </c>
      <c r="M88" s="52">
        <f t="shared" si="1"/>
        <v>150000000.006818</v>
      </c>
      <c r="N88" s="53">
        <v>0.26667</v>
      </c>
      <c r="O88" s="47" t="s">
        <v>269</v>
      </c>
      <c r="P88" s="47" t="s">
        <v>170</v>
      </c>
      <c r="Q88" s="47" t="s">
        <v>100</v>
      </c>
    </row>
    <row r="89" hidden="1" spans="1:17">
      <c r="A89" s="47" t="s">
        <v>17</v>
      </c>
      <c r="B89" s="48" t="s">
        <v>18</v>
      </c>
      <c r="C89" s="47">
        <v>220809</v>
      </c>
      <c r="D89" s="47" t="s">
        <v>287</v>
      </c>
      <c r="E89" s="47" t="s">
        <v>20</v>
      </c>
      <c r="F89" s="49" t="s">
        <v>288</v>
      </c>
      <c r="G89" s="47" t="s">
        <v>289</v>
      </c>
      <c r="H89" s="47" t="s">
        <v>149</v>
      </c>
      <c r="I89" s="47" t="s">
        <v>126</v>
      </c>
      <c r="J89" s="47" t="s">
        <v>62</v>
      </c>
      <c r="K89" s="51">
        <v>3000000</v>
      </c>
      <c r="L89" s="47" t="s">
        <v>26</v>
      </c>
      <c r="M89" s="52">
        <f t="shared" si="1"/>
        <v>3000000</v>
      </c>
      <c r="N89" s="53">
        <v>0.2</v>
      </c>
      <c r="O89" s="47" t="s">
        <v>269</v>
      </c>
      <c r="P89" s="47" t="s">
        <v>77</v>
      </c>
      <c r="Q89" s="47" t="s">
        <v>29</v>
      </c>
    </row>
    <row r="90" hidden="1" spans="1:17">
      <c r="A90" s="47" t="s">
        <v>17</v>
      </c>
      <c r="B90" s="48" t="s">
        <v>18</v>
      </c>
      <c r="C90" s="47">
        <v>220904</v>
      </c>
      <c r="D90" s="47" t="s">
        <v>171</v>
      </c>
      <c r="E90" s="47" t="s">
        <v>172</v>
      </c>
      <c r="F90" s="49" t="s">
        <v>290</v>
      </c>
      <c r="G90" s="47" t="s">
        <v>291</v>
      </c>
      <c r="H90" s="47" t="s">
        <v>149</v>
      </c>
      <c r="I90" s="47" t="s">
        <v>126</v>
      </c>
      <c r="J90" s="47" t="s">
        <v>25</v>
      </c>
      <c r="K90" s="51">
        <v>1410621</v>
      </c>
      <c r="L90" s="47" t="s">
        <v>26</v>
      </c>
      <c r="M90" s="52">
        <f t="shared" si="1"/>
        <v>1410621</v>
      </c>
      <c r="N90" s="53">
        <v>0.17936</v>
      </c>
      <c r="O90" s="47" t="s">
        <v>269</v>
      </c>
      <c r="P90" s="47" t="s">
        <v>292</v>
      </c>
      <c r="Q90" s="47" t="s">
        <v>100</v>
      </c>
    </row>
    <row r="91" hidden="1" spans="1:17">
      <c r="A91" s="47" t="s">
        <v>17</v>
      </c>
      <c r="B91" s="48" t="s">
        <v>68</v>
      </c>
      <c r="C91" s="47">
        <v>222503</v>
      </c>
      <c r="D91" s="47" t="s">
        <v>69</v>
      </c>
      <c r="E91" s="47" t="s">
        <v>70</v>
      </c>
      <c r="F91" s="49" t="s">
        <v>273</v>
      </c>
      <c r="G91" s="47" t="s">
        <v>293</v>
      </c>
      <c r="H91" s="47" t="s">
        <v>125</v>
      </c>
      <c r="I91" s="47" t="s">
        <v>135</v>
      </c>
      <c r="J91" s="47" t="s">
        <v>25</v>
      </c>
      <c r="K91" s="51">
        <v>19999999.9994231</v>
      </c>
      <c r="L91" s="47" t="s">
        <v>26</v>
      </c>
      <c r="M91" s="52">
        <f t="shared" si="1"/>
        <v>19999999.9994231</v>
      </c>
      <c r="N91" s="53">
        <v>0.13</v>
      </c>
      <c r="O91" s="47" t="s">
        <v>269</v>
      </c>
      <c r="P91" s="47" t="s">
        <v>180</v>
      </c>
      <c r="Q91" s="47" t="s">
        <v>33</v>
      </c>
    </row>
    <row r="92" hidden="1" spans="1:17">
      <c r="A92" s="47" t="s">
        <v>17</v>
      </c>
      <c r="B92" s="48" t="s">
        <v>68</v>
      </c>
      <c r="C92" s="47">
        <v>222767</v>
      </c>
      <c r="D92" s="47" t="s">
        <v>69</v>
      </c>
      <c r="E92" s="47" t="s">
        <v>70</v>
      </c>
      <c r="F92" s="49" t="s">
        <v>294</v>
      </c>
      <c r="G92" s="47" t="s">
        <v>295</v>
      </c>
      <c r="H92" s="47" t="s">
        <v>125</v>
      </c>
      <c r="I92" s="47" t="s">
        <v>126</v>
      </c>
      <c r="J92" s="47" t="s">
        <v>25</v>
      </c>
      <c r="K92" s="51">
        <v>275000.00000859</v>
      </c>
      <c r="L92" s="47" t="s">
        <v>26</v>
      </c>
      <c r="M92" s="52">
        <f t="shared" si="1"/>
        <v>275000.00000859</v>
      </c>
      <c r="N92" s="53">
        <v>0.12727</v>
      </c>
      <c r="O92" s="47" t="s">
        <v>269</v>
      </c>
      <c r="P92" s="47" t="s">
        <v>186</v>
      </c>
      <c r="Q92" s="47" t="s">
        <v>209</v>
      </c>
    </row>
    <row r="93" hidden="1" spans="1:17">
      <c r="A93" s="47" t="s">
        <v>17</v>
      </c>
      <c r="B93" s="48" t="s">
        <v>68</v>
      </c>
      <c r="C93" s="47">
        <v>222789</v>
      </c>
      <c r="D93" s="47" t="s">
        <v>69</v>
      </c>
      <c r="E93" s="47" t="s">
        <v>70</v>
      </c>
      <c r="F93" s="49" t="s">
        <v>273</v>
      </c>
      <c r="G93" s="47" t="s">
        <v>296</v>
      </c>
      <c r="H93" s="47" t="s">
        <v>163</v>
      </c>
      <c r="I93" s="47" t="s">
        <v>135</v>
      </c>
      <c r="J93" s="47" t="s">
        <v>25</v>
      </c>
      <c r="K93" s="51">
        <v>3400000.0000922</v>
      </c>
      <c r="L93" s="47" t="s">
        <v>26</v>
      </c>
      <c r="M93" s="52">
        <f t="shared" si="1"/>
        <v>3400000.0000922</v>
      </c>
      <c r="N93" s="53">
        <v>0.13235</v>
      </c>
      <c r="O93" s="47" t="s">
        <v>269</v>
      </c>
      <c r="P93" s="47" t="s">
        <v>189</v>
      </c>
      <c r="Q93" s="47" t="s">
        <v>209</v>
      </c>
    </row>
    <row r="94" hidden="1" spans="1:17">
      <c r="A94" s="47" t="s">
        <v>17</v>
      </c>
      <c r="B94" s="48" t="s">
        <v>18</v>
      </c>
      <c r="C94" s="47">
        <v>222833</v>
      </c>
      <c r="D94" s="47" t="s">
        <v>275</v>
      </c>
      <c r="E94" s="47" t="s">
        <v>20</v>
      </c>
      <c r="F94" s="49" t="s">
        <v>297</v>
      </c>
      <c r="G94" s="47" t="s">
        <v>298</v>
      </c>
      <c r="H94" s="47" t="s">
        <v>149</v>
      </c>
      <c r="I94" s="47" t="s">
        <v>126</v>
      </c>
      <c r="J94" s="47" t="s">
        <v>25</v>
      </c>
      <c r="K94" s="51">
        <v>290697674.42</v>
      </c>
      <c r="L94" s="47" t="s">
        <v>26</v>
      </c>
      <c r="M94" s="52">
        <f t="shared" si="1"/>
        <v>290697674.42</v>
      </c>
      <c r="N94" s="53">
        <v>0.14</v>
      </c>
      <c r="O94" s="47" t="s">
        <v>269</v>
      </c>
      <c r="P94" s="47" t="s">
        <v>189</v>
      </c>
      <c r="Q94" s="47" t="s">
        <v>259</v>
      </c>
    </row>
    <row r="95" hidden="1" spans="1:17">
      <c r="A95" s="47" t="s">
        <v>17</v>
      </c>
      <c r="B95" s="48" t="s">
        <v>34</v>
      </c>
      <c r="C95" s="47">
        <v>222849</v>
      </c>
      <c r="D95" s="47" t="s">
        <v>278</v>
      </c>
      <c r="E95" s="47" t="s">
        <v>36</v>
      </c>
      <c r="F95" s="49" t="s">
        <v>299</v>
      </c>
      <c r="G95" s="47" t="s">
        <v>300</v>
      </c>
      <c r="H95" s="47" t="s">
        <v>134</v>
      </c>
      <c r="I95" s="47" t="s">
        <v>135</v>
      </c>
      <c r="J95" s="47" t="s">
        <v>25</v>
      </c>
      <c r="K95" s="51">
        <v>3272727.27</v>
      </c>
      <c r="L95" s="47" t="s">
        <v>26</v>
      </c>
      <c r="M95" s="52">
        <f t="shared" si="1"/>
        <v>3272727.27</v>
      </c>
      <c r="N95" s="53">
        <v>0.08333</v>
      </c>
      <c r="O95" s="47" t="s">
        <v>269</v>
      </c>
      <c r="P95" s="47" t="s">
        <v>139</v>
      </c>
      <c r="Q95" s="47" t="s">
        <v>33</v>
      </c>
    </row>
    <row r="96" hidden="1" spans="1:17">
      <c r="A96" s="47" t="s">
        <v>17</v>
      </c>
      <c r="B96" s="48" t="s">
        <v>103</v>
      </c>
      <c r="C96" s="47">
        <v>222878</v>
      </c>
      <c r="D96" s="47" t="s">
        <v>301</v>
      </c>
      <c r="E96" s="47" t="s">
        <v>129</v>
      </c>
      <c r="F96" s="49" t="s">
        <v>302</v>
      </c>
      <c r="G96" s="47" t="s">
        <v>303</v>
      </c>
      <c r="H96" s="47" t="s">
        <v>149</v>
      </c>
      <c r="I96" s="47" t="s">
        <v>126</v>
      </c>
      <c r="J96" s="47" t="s">
        <v>73</v>
      </c>
      <c r="K96" s="51">
        <v>10000000</v>
      </c>
      <c r="L96" s="47" t="s">
        <v>26</v>
      </c>
      <c r="M96" s="52">
        <f t="shared" si="1"/>
        <v>10000000</v>
      </c>
      <c r="N96" s="53">
        <v>0.15</v>
      </c>
      <c r="O96" s="47" t="s">
        <v>269</v>
      </c>
      <c r="P96" s="47" t="s">
        <v>304</v>
      </c>
      <c r="Q96" s="47" t="s">
        <v>29</v>
      </c>
    </row>
    <row r="97" hidden="1" spans="1:17">
      <c r="A97" s="47" t="s">
        <v>17</v>
      </c>
      <c r="B97" s="48" t="s">
        <v>18</v>
      </c>
      <c r="C97" s="47">
        <v>223069</v>
      </c>
      <c r="D97" s="47" t="s">
        <v>171</v>
      </c>
      <c r="E97" s="47" t="s">
        <v>172</v>
      </c>
      <c r="F97" s="49" t="s">
        <v>305</v>
      </c>
      <c r="G97" s="47" t="s">
        <v>306</v>
      </c>
      <c r="H97" s="47" t="s">
        <v>134</v>
      </c>
      <c r="I97" s="47" t="s">
        <v>135</v>
      </c>
      <c r="J97" s="47" t="s">
        <v>62</v>
      </c>
      <c r="K97" s="51">
        <v>4000000</v>
      </c>
      <c r="L97" s="47" t="s">
        <v>26</v>
      </c>
      <c r="M97" s="52">
        <f t="shared" si="1"/>
        <v>4000000</v>
      </c>
      <c r="N97" s="53">
        <v>0.2</v>
      </c>
      <c r="O97" s="47" t="s">
        <v>269</v>
      </c>
      <c r="P97" s="47" t="s">
        <v>307</v>
      </c>
      <c r="Q97" s="47" t="s">
        <v>29</v>
      </c>
    </row>
    <row r="98" hidden="1" spans="1:17">
      <c r="A98" s="47" t="s">
        <v>17</v>
      </c>
      <c r="B98" s="48" t="s">
        <v>18</v>
      </c>
      <c r="C98" s="47">
        <v>223184</v>
      </c>
      <c r="D98" s="47" t="s">
        <v>171</v>
      </c>
      <c r="E98" s="47" t="s">
        <v>172</v>
      </c>
      <c r="F98" s="49" t="s">
        <v>88</v>
      </c>
      <c r="G98" s="47" t="s">
        <v>308</v>
      </c>
      <c r="H98" s="47" t="s">
        <v>134</v>
      </c>
      <c r="I98" s="47" t="s">
        <v>135</v>
      </c>
      <c r="J98" s="47" t="s">
        <v>73</v>
      </c>
      <c r="K98" s="51">
        <v>695867.92</v>
      </c>
      <c r="L98" s="47" t="s">
        <v>26</v>
      </c>
      <c r="M98" s="52">
        <f t="shared" si="1"/>
        <v>695867.92</v>
      </c>
      <c r="N98" s="53">
        <v>0.13</v>
      </c>
      <c r="O98" s="47" t="s">
        <v>269</v>
      </c>
      <c r="P98" s="47" t="s">
        <v>39</v>
      </c>
      <c r="Q98" s="47" t="s">
        <v>33</v>
      </c>
    </row>
    <row r="99" hidden="1" spans="1:17">
      <c r="A99" s="47" t="s">
        <v>17</v>
      </c>
      <c r="B99" s="48" t="s">
        <v>68</v>
      </c>
      <c r="C99" s="47">
        <v>223289</v>
      </c>
      <c r="D99" s="47" t="s">
        <v>69</v>
      </c>
      <c r="E99" s="47" t="s">
        <v>70</v>
      </c>
      <c r="F99" s="49" t="s">
        <v>83</v>
      </c>
      <c r="G99" s="47" t="s">
        <v>309</v>
      </c>
      <c r="H99" s="47" t="s">
        <v>125</v>
      </c>
      <c r="I99" s="47" t="s">
        <v>126</v>
      </c>
      <c r="J99" s="47" t="s">
        <v>73</v>
      </c>
      <c r="K99" s="51">
        <v>1450000.00006135</v>
      </c>
      <c r="L99" s="47" t="s">
        <v>26</v>
      </c>
      <c r="M99" s="52">
        <f t="shared" si="1"/>
        <v>1450000.00006135</v>
      </c>
      <c r="N99" s="53">
        <v>0.10345</v>
      </c>
      <c r="O99" s="47" t="s">
        <v>269</v>
      </c>
      <c r="P99" s="47" t="s">
        <v>52</v>
      </c>
      <c r="Q99" s="47" t="s">
        <v>33</v>
      </c>
    </row>
    <row r="100" hidden="1" spans="1:17">
      <c r="A100" s="47" t="s">
        <v>17</v>
      </c>
      <c r="B100" s="48" t="s">
        <v>68</v>
      </c>
      <c r="C100" s="47">
        <v>223290</v>
      </c>
      <c r="D100" s="47" t="s">
        <v>69</v>
      </c>
      <c r="E100" s="47" t="s">
        <v>70</v>
      </c>
      <c r="F100" s="49" t="s">
        <v>310</v>
      </c>
      <c r="G100" s="47" t="s">
        <v>311</v>
      </c>
      <c r="H100" s="47" t="s">
        <v>125</v>
      </c>
      <c r="I100" s="47" t="s">
        <v>135</v>
      </c>
      <c r="J100" s="47" t="s">
        <v>73</v>
      </c>
      <c r="K100" s="51">
        <v>2000000</v>
      </c>
      <c r="L100" s="47" t="s">
        <v>26</v>
      </c>
      <c r="M100" s="52">
        <f t="shared" si="1"/>
        <v>2000000</v>
      </c>
      <c r="N100" s="53">
        <v>0.125</v>
      </c>
      <c r="O100" s="47" t="s">
        <v>269</v>
      </c>
      <c r="P100" s="47" t="s">
        <v>52</v>
      </c>
      <c r="Q100" s="47" t="s">
        <v>209</v>
      </c>
    </row>
    <row r="101" hidden="1" spans="1:17">
      <c r="A101" s="47" t="s">
        <v>17</v>
      </c>
      <c r="B101" s="48" t="s">
        <v>18</v>
      </c>
      <c r="C101" s="47">
        <v>223298</v>
      </c>
      <c r="D101" s="47" t="s">
        <v>59</v>
      </c>
      <c r="E101" s="47" t="s">
        <v>20</v>
      </c>
      <c r="F101" s="49" t="s">
        <v>312</v>
      </c>
      <c r="G101" s="47" t="s">
        <v>313</v>
      </c>
      <c r="H101" s="47" t="s">
        <v>134</v>
      </c>
      <c r="I101" s="47" t="s">
        <v>86</v>
      </c>
      <c r="J101" s="47" t="s">
        <v>62</v>
      </c>
      <c r="K101" s="51">
        <v>1609710</v>
      </c>
      <c r="L101" s="47" t="s">
        <v>26</v>
      </c>
      <c r="M101" s="52">
        <f t="shared" si="1"/>
        <v>1609710</v>
      </c>
      <c r="N101" s="53">
        <v>0.16</v>
      </c>
      <c r="O101" s="47" t="s">
        <v>269</v>
      </c>
      <c r="P101" s="47" t="s">
        <v>64</v>
      </c>
      <c r="Q101" s="47" t="s">
        <v>65</v>
      </c>
    </row>
    <row r="102" hidden="1" spans="1:17">
      <c r="A102" s="47" t="s">
        <v>17</v>
      </c>
      <c r="B102" s="48" t="s">
        <v>40</v>
      </c>
      <c r="C102" s="47">
        <v>223294</v>
      </c>
      <c r="D102" s="47" t="s">
        <v>59</v>
      </c>
      <c r="E102" s="47" t="s">
        <v>20</v>
      </c>
      <c r="F102" s="49" t="s">
        <v>314</v>
      </c>
      <c r="G102" s="47" t="s">
        <v>315</v>
      </c>
      <c r="H102" s="47" t="s">
        <v>134</v>
      </c>
      <c r="I102" s="47" t="s">
        <v>126</v>
      </c>
      <c r="J102" s="47" t="s">
        <v>62</v>
      </c>
      <c r="K102" s="51">
        <v>7000000</v>
      </c>
      <c r="L102" s="47" t="s">
        <v>26</v>
      </c>
      <c r="M102" s="52">
        <f t="shared" si="1"/>
        <v>7000000</v>
      </c>
      <c r="N102" s="53">
        <v>0.2</v>
      </c>
      <c r="O102" s="47" t="s">
        <v>269</v>
      </c>
      <c r="P102" s="47" t="s">
        <v>64</v>
      </c>
      <c r="Q102" s="47" t="s">
        <v>65</v>
      </c>
    </row>
    <row r="103" hidden="1" spans="1:17">
      <c r="A103" s="47" t="s">
        <v>17</v>
      </c>
      <c r="B103" s="48" t="s">
        <v>40</v>
      </c>
      <c r="C103" s="47">
        <v>223295</v>
      </c>
      <c r="D103" s="47" t="s">
        <v>59</v>
      </c>
      <c r="E103" s="47" t="s">
        <v>20</v>
      </c>
      <c r="F103" s="49" t="s">
        <v>43</v>
      </c>
      <c r="G103" s="47" t="s">
        <v>316</v>
      </c>
      <c r="H103" s="47" t="s">
        <v>134</v>
      </c>
      <c r="I103" s="47" t="s">
        <v>86</v>
      </c>
      <c r="J103" s="47" t="s">
        <v>62</v>
      </c>
      <c r="K103" s="51">
        <v>3000000</v>
      </c>
      <c r="L103" s="47" t="s">
        <v>26</v>
      </c>
      <c r="M103" s="52">
        <f t="shared" si="1"/>
        <v>3000000</v>
      </c>
      <c r="N103" s="53">
        <v>0.16</v>
      </c>
      <c r="O103" s="47" t="s">
        <v>269</v>
      </c>
      <c r="P103" s="47" t="s">
        <v>64</v>
      </c>
      <c r="Q103" s="47" t="s">
        <v>65</v>
      </c>
    </row>
    <row r="104" hidden="1" spans="1:17">
      <c r="A104" s="47" t="s">
        <v>17</v>
      </c>
      <c r="B104" s="48" t="s">
        <v>18</v>
      </c>
      <c r="C104" s="47">
        <v>223350</v>
      </c>
      <c r="D104" s="47" t="s">
        <v>171</v>
      </c>
      <c r="E104" s="47" t="s">
        <v>172</v>
      </c>
      <c r="F104" s="49" t="s">
        <v>88</v>
      </c>
      <c r="G104" s="47" t="s">
        <v>317</v>
      </c>
      <c r="H104" s="47" t="s">
        <v>134</v>
      </c>
      <c r="I104" s="47" t="s">
        <v>135</v>
      </c>
      <c r="J104" s="47" t="s">
        <v>73</v>
      </c>
      <c r="K104" s="51">
        <v>4050000</v>
      </c>
      <c r="L104" s="47" t="s">
        <v>26</v>
      </c>
      <c r="M104" s="52">
        <f t="shared" si="1"/>
        <v>4050000</v>
      </c>
      <c r="N104" s="53">
        <v>0.13</v>
      </c>
      <c r="O104" s="47" t="s">
        <v>269</v>
      </c>
      <c r="P104" s="47" t="s">
        <v>318</v>
      </c>
      <c r="Q104" s="47" t="s">
        <v>33</v>
      </c>
    </row>
    <row r="105" hidden="1" spans="1:17">
      <c r="A105" s="47" t="s">
        <v>17</v>
      </c>
      <c r="B105" s="48" t="s">
        <v>103</v>
      </c>
      <c r="C105" s="47">
        <v>223499</v>
      </c>
      <c r="D105" s="47" t="s">
        <v>301</v>
      </c>
      <c r="E105" s="47" t="s">
        <v>129</v>
      </c>
      <c r="F105" s="49" t="s">
        <v>319</v>
      </c>
      <c r="G105" s="47" t="s">
        <v>320</v>
      </c>
      <c r="H105" s="47" t="s">
        <v>134</v>
      </c>
      <c r="I105" s="47" t="s">
        <v>135</v>
      </c>
      <c r="J105" s="47" t="s">
        <v>25</v>
      </c>
      <c r="K105" s="51">
        <v>899999.999955</v>
      </c>
      <c r="L105" s="47" t="s">
        <v>26</v>
      </c>
      <c r="M105" s="52">
        <f t="shared" si="1"/>
        <v>899999.999955</v>
      </c>
      <c r="N105" s="53">
        <v>0.33333</v>
      </c>
      <c r="O105" s="47" t="s">
        <v>269</v>
      </c>
      <c r="P105" s="47" t="s">
        <v>193</v>
      </c>
      <c r="Q105" s="47" t="s">
        <v>29</v>
      </c>
    </row>
    <row r="106" hidden="1" spans="1:17">
      <c r="A106" s="47" t="s">
        <v>17</v>
      </c>
      <c r="B106" s="48" t="s">
        <v>103</v>
      </c>
      <c r="C106" s="47">
        <v>223631</v>
      </c>
      <c r="D106" s="47" t="s">
        <v>104</v>
      </c>
      <c r="E106" s="47" t="s">
        <v>105</v>
      </c>
      <c r="F106" s="49" t="s">
        <v>137</v>
      </c>
      <c r="G106" s="47" t="s">
        <v>321</v>
      </c>
      <c r="H106" s="47" t="s">
        <v>125</v>
      </c>
      <c r="I106" s="47" t="s">
        <v>135</v>
      </c>
      <c r="J106" s="47" t="s">
        <v>25</v>
      </c>
      <c r="K106" s="51">
        <v>1000000</v>
      </c>
      <c r="L106" s="47" t="s">
        <v>26</v>
      </c>
      <c r="M106" s="52">
        <f t="shared" si="1"/>
        <v>1000000</v>
      </c>
      <c r="N106" s="53">
        <v>0.18</v>
      </c>
      <c r="O106" s="47" t="s">
        <v>269</v>
      </c>
      <c r="P106" s="47" t="s">
        <v>63</v>
      </c>
      <c r="Q106" s="47" t="s">
        <v>209</v>
      </c>
    </row>
    <row r="107" spans="1:17">
      <c r="A107" s="47" t="s">
        <v>17</v>
      </c>
      <c r="B107" s="48" t="s">
        <v>34</v>
      </c>
      <c r="C107" s="47">
        <v>223725</v>
      </c>
      <c r="D107" s="47" t="s">
        <v>48</v>
      </c>
      <c r="E107" s="47" t="s">
        <v>49</v>
      </c>
      <c r="F107" s="49" t="s">
        <v>74</v>
      </c>
      <c r="G107" s="47" t="s">
        <v>322</v>
      </c>
      <c r="H107" s="47" t="s">
        <v>163</v>
      </c>
      <c r="I107" s="47" t="s">
        <v>135</v>
      </c>
      <c r="J107" s="47" t="s">
        <v>25</v>
      </c>
      <c r="K107" s="51">
        <v>11875000</v>
      </c>
      <c r="L107" s="47" t="s">
        <v>26</v>
      </c>
      <c r="M107" s="52">
        <f t="shared" si="1"/>
        <v>11875000</v>
      </c>
      <c r="N107" s="53">
        <v>0.2</v>
      </c>
      <c r="O107" s="47" t="s">
        <v>269</v>
      </c>
      <c r="P107" s="47" t="s">
        <v>159</v>
      </c>
      <c r="Q107" s="47" t="s">
        <v>33</v>
      </c>
    </row>
    <row r="108" hidden="1" spans="1:17">
      <c r="A108" s="47" t="s">
        <v>17</v>
      </c>
      <c r="B108" s="48" t="s">
        <v>103</v>
      </c>
      <c r="C108" s="47">
        <v>223842</v>
      </c>
      <c r="D108" s="47" t="s">
        <v>323</v>
      </c>
      <c r="E108" s="47" t="s">
        <v>129</v>
      </c>
      <c r="F108" s="49" t="s">
        <v>324</v>
      </c>
      <c r="G108" s="47" t="s">
        <v>325</v>
      </c>
      <c r="H108" s="47" t="s">
        <v>134</v>
      </c>
      <c r="I108" s="47" t="s">
        <v>135</v>
      </c>
      <c r="J108" s="47" t="s">
        <v>62</v>
      </c>
      <c r="K108" s="51">
        <v>1605275.00000137</v>
      </c>
      <c r="L108" s="47" t="s">
        <v>26</v>
      </c>
      <c r="M108" s="52">
        <f t="shared" si="1"/>
        <v>1605275.00000137</v>
      </c>
      <c r="N108" s="53">
        <v>0.25246</v>
      </c>
      <c r="O108" s="47" t="s">
        <v>269</v>
      </c>
      <c r="P108" s="47" t="s">
        <v>99</v>
      </c>
      <c r="Q108" s="47" t="s">
        <v>65</v>
      </c>
    </row>
    <row r="109" hidden="1" spans="1:17">
      <c r="A109" s="47" t="s">
        <v>17</v>
      </c>
      <c r="B109" s="48" t="s">
        <v>103</v>
      </c>
      <c r="C109" s="47">
        <v>223912</v>
      </c>
      <c r="D109" s="47" t="s">
        <v>326</v>
      </c>
      <c r="E109" s="47" t="s">
        <v>117</v>
      </c>
      <c r="F109" s="49" t="s">
        <v>327</v>
      </c>
      <c r="G109" s="47" t="s">
        <v>328</v>
      </c>
      <c r="H109" s="47" t="s">
        <v>149</v>
      </c>
      <c r="I109" s="47" t="s">
        <v>126</v>
      </c>
      <c r="J109" s="47" t="s">
        <v>25</v>
      </c>
      <c r="K109" s="51">
        <v>4823529.41</v>
      </c>
      <c r="L109" s="47" t="s">
        <v>26</v>
      </c>
      <c r="M109" s="52">
        <f t="shared" si="1"/>
        <v>4823529.41</v>
      </c>
      <c r="N109" s="53">
        <v>0.15</v>
      </c>
      <c r="O109" s="47" t="s">
        <v>269</v>
      </c>
      <c r="P109" s="47" t="s">
        <v>99</v>
      </c>
      <c r="Q109" s="47" t="s">
        <v>29</v>
      </c>
    </row>
    <row r="110" hidden="1" spans="1:17">
      <c r="A110" s="47" t="s">
        <v>17</v>
      </c>
      <c r="B110" s="48" t="s">
        <v>103</v>
      </c>
      <c r="C110" s="47">
        <v>223916</v>
      </c>
      <c r="D110" s="47" t="s">
        <v>323</v>
      </c>
      <c r="E110" s="47" t="s">
        <v>129</v>
      </c>
      <c r="F110" s="49" t="s">
        <v>329</v>
      </c>
      <c r="G110" s="47" t="s">
        <v>330</v>
      </c>
      <c r="H110" s="47" t="s">
        <v>134</v>
      </c>
      <c r="I110" s="47" t="s">
        <v>135</v>
      </c>
      <c r="J110" s="47" t="s">
        <v>62</v>
      </c>
      <c r="K110" s="51">
        <v>440000.00002839</v>
      </c>
      <c r="L110" s="47" t="s">
        <v>26</v>
      </c>
      <c r="M110" s="52">
        <f t="shared" si="1"/>
        <v>440000.00002839</v>
      </c>
      <c r="N110" s="53">
        <v>0.29545</v>
      </c>
      <c r="O110" s="47" t="s">
        <v>269</v>
      </c>
      <c r="P110" s="47" t="s">
        <v>99</v>
      </c>
      <c r="Q110" s="47" t="s">
        <v>65</v>
      </c>
    </row>
    <row r="111" hidden="1" spans="1:17">
      <c r="A111" s="47" t="s">
        <v>17</v>
      </c>
      <c r="B111" s="48" t="s">
        <v>103</v>
      </c>
      <c r="C111" s="47">
        <v>223839</v>
      </c>
      <c r="D111" s="47" t="s">
        <v>160</v>
      </c>
      <c r="E111" s="47" t="s">
        <v>117</v>
      </c>
      <c r="F111" s="49" t="s">
        <v>331</v>
      </c>
      <c r="G111" s="47" t="s">
        <v>332</v>
      </c>
      <c r="H111" s="47" t="s">
        <v>134</v>
      </c>
      <c r="I111" s="47" t="s">
        <v>135</v>
      </c>
      <c r="J111" s="47" t="s">
        <v>45</v>
      </c>
      <c r="K111" s="51">
        <v>2500000</v>
      </c>
      <c r="L111" s="47" t="s">
        <v>26</v>
      </c>
      <c r="M111" s="52">
        <f t="shared" si="1"/>
        <v>2500000</v>
      </c>
      <c r="N111" s="53">
        <v>0</v>
      </c>
      <c r="O111" s="47" t="s">
        <v>333</v>
      </c>
      <c r="P111" s="47" t="s">
        <v>99</v>
      </c>
      <c r="Q111" s="47" t="s">
        <v>33</v>
      </c>
    </row>
    <row r="112" spans="1:17">
      <c r="A112" s="47" t="s">
        <v>17</v>
      </c>
      <c r="B112" s="48" t="s">
        <v>34</v>
      </c>
      <c r="C112" s="47">
        <v>223286</v>
      </c>
      <c r="D112" s="47" t="s">
        <v>48</v>
      </c>
      <c r="E112" s="47" t="s">
        <v>49</v>
      </c>
      <c r="F112" s="49" t="s">
        <v>50</v>
      </c>
      <c r="G112" s="47" t="s">
        <v>334</v>
      </c>
      <c r="H112" s="47" t="s">
        <v>163</v>
      </c>
      <c r="I112" s="47" t="s">
        <v>126</v>
      </c>
      <c r="J112" s="47" t="s">
        <v>25</v>
      </c>
      <c r="K112" s="51">
        <v>8823529.41</v>
      </c>
      <c r="L112" s="47" t="s">
        <v>26</v>
      </c>
      <c r="M112" s="52">
        <f t="shared" si="1"/>
        <v>8823529.41</v>
      </c>
      <c r="N112" s="53">
        <v>0.15</v>
      </c>
      <c r="O112" s="47" t="s">
        <v>335</v>
      </c>
      <c r="P112" s="47" t="s">
        <v>52</v>
      </c>
      <c r="Q112" s="47" t="s">
        <v>100</v>
      </c>
    </row>
    <row r="113" hidden="1" spans="1:17">
      <c r="A113" s="47" t="s">
        <v>17</v>
      </c>
      <c r="B113" s="48" t="s">
        <v>34</v>
      </c>
      <c r="C113" s="47">
        <v>220533</v>
      </c>
      <c r="D113" s="47" t="s">
        <v>35</v>
      </c>
      <c r="E113" s="47" t="s">
        <v>36</v>
      </c>
      <c r="F113" s="49" t="s">
        <v>216</v>
      </c>
      <c r="G113" s="47" t="s">
        <v>336</v>
      </c>
      <c r="H113" s="47" t="s">
        <v>163</v>
      </c>
      <c r="I113" s="47" t="s">
        <v>135</v>
      </c>
      <c r="J113" s="47" t="s">
        <v>25</v>
      </c>
      <c r="K113" s="51">
        <v>105882352.94</v>
      </c>
      <c r="L113" s="47" t="s">
        <v>26</v>
      </c>
      <c r="M113" s="52">
        <f t="shared" si="1"/>
        <v>105882352.94</v>
      </c>
      <c r="N113" s="53">
        <v>0.15</v>
      </c>
      <c r="O113" s="47" t="s">
        <v>337</v>
      </c>
      <c r="P113" s="47" t="s">
        <v>226</v>
      </c>
      <c r="Q113" s="47" t="s">
        <v>100</v>
      </c>
    </row>
    <row r="114" hidden="1" spans="1:17">
      <c r="A114" s="47" t="s">
        <v>17</v>
      </c>
      <c r="B114" s="48" t="s">
        <v>103</v>
      </c>
      <c r="C114" s="47">
        <v>221787</v>
      </c>
      <c r="D114" s="47" t="s">
        <v>104</v>
      </c>
      <c r="E114" s="47" t="s">
        <v>105</v>
      </c>
      <c r="F114" s="49" t="s">
        <v>338</v>
      </c>
      <c r="G114" s="47" t="s">
        <v>339</v>
      </c>
      <c r="H114" s="47" t="s">
        <v>125</v>
      </c>
      <c r="I114" s="47" t="s">
        <v>135</v>
      </c>
      <c r="J114" s="47" t="s">
        <v>25</v>
      </c>
      <c r="K114" s="51">
        <v>2600000</v>
      </c>
      <c r="L114" s="47" t="s">
        <v>26</v>
      </c>
      <c r="M114" s="52">
        <f t="shared" si="1"/>
        <v>2600000</v>
      </c>
      <c r="N114" s="53">
        <v>0.15</v>
      </c>
      <c r="O114" s="47" t="s">
        <v>337</v>
      </c>
      <c r="P114" s="47" t="s">
        <v>340</v>
      </c>
      <c r="Q114" s="47" t="s">
        <v>33</v>
      </c>
    </row>
    <row r="115" hidden="1" spans="1:17">
      <c r="A115" s="47" t="s">
        <v>17</v>
      </c>
      <c r="B115" s="48" t="s">
        <v>34</v>
      </c>
      <c r="C115" s="47">
        <v>222333</v>
      </c>
      <c r="D115" s="47" t="s">
        <v>252</v>
      </c>
      <c r="E115" s="47" t="s">
        <v>36</v>
      </c>
      <c r="F115" s="49" t="s">
        <v>341</v>
      </c>
      <c r="G115" s="47" t="s">
        <v>342</v>
      </c>
      <c r="H115" s="47" t="s">
        <v>163</v>
      </c>
      <c r="I115" s="47" t="s">
        <v>135</v>
      </c>
      <c r="J115" s="47" t="s">
        <v>25</v>
      </c>
      <c r="K115" s="51">
        <v>7738095.24</v>
      </c>
      <c r="L115" s="47" t="s">
        <v>26</v>
      </c>
      <c r="M115" s="52">
        <f t="shared" si="1"/>
        <v>7738095.24</v>
      </c>
      <c r="N115" s="53">
        <v>0.16</v>
      </c>
      <c r="O115" s="47" t="s">
        <v>337</v>
      </c>
      <c r="P115" s="47" t="s">
        <v>343</v>
      </c>
      <c r="Q115" s="47" t="s">
        <v>33</v>
      </c>
    </row>
    <row r="116" hidden="1" spans="1:17">
      <c r="A116" s="47" t="s">
        <v>17</v>
      </c>
      <c r="B116" s="48" t="s">
        <v>103</v>
      </c>
      <c r="C116" s="47">
        <v>223452</v>
      </c>
      <c r="D116" s="47" t="s">
        <v>140</v>
      </c>
      <c r="E116" s="47" t="s">
        <v>117</v>
      </c>
      <c r="F116" s="49" t="s">
        <v>141</v>
      </c>
      <c r="G116" s="47" t="s">
        <v>344</v>
      </c>
      <c r="H116" s="47" t="s">
        <v>149</v>
      </c>
      <c r="I116" s="47" t="s">
        <v>126</v>
      </c>
      <c r="J116" s="47" t="s">
        <v>25</v>
      </c>
      <c r="K116" s="51">
        <v>5411764.71</v>
      </c>
      <c r="L116" s="47" t="s">
        <v>26</v>
      </c>
      <c r="M116" s="52">
        <f t="shared" si="1"/>
        <v>5411764.71</v>
      </c>
      <c r="N116" s="53">
        <v>0.15</v>
      </c>
      <c r="O116" s="47" t="s">
        <v>337</v>
      </c>
      <c r="P116" s="47" t="s">
        <v>191</v>
      </c>
      <c r="Q116" s="47" t="s">
        <v>259</v>
      </c>
    </row>
    <row r="117" hidden="1" spans="1:17">
      <c r="A117" s="47" t="s">
        <v>17</v>
      </c>
      <c r="B117" s="48" t="s">
        <v>18</v>
      </c>
      <c r="C117" s="47">
        <v>213968</v>
      </c>
      <c r="D117" s="47" t="s">
        <v>19</v>
      </c>
      <c r="E117" s="47" t="s">
        <v>20</v>
      </c>
      <c r="F117" s="49" t="s">
        <v>156</v>
      </c>
      <c r="G117" s="47" t="s">
        <v>345</v>
      </c>
      <c r="H117" s="47" t="s">
        <v>125</v>
      </c>
      <c r="I117" s="47" t="s">
        <v>135</v>
      </c>
      <c r="J117" s="47" t="s">
        <v>25</v>
      </c>
      <c r="K117" s="51">
        <v>4800000</v>
      </c>
      <c r="L117" s="47" t="s">
        <v>26</v>
      </c>
      <c r="M117" s="52">
        <f t="shared" si="1"/>
        <v>4800000</v>
      </c>
      <c r="N117" s="53">
        <v>0.125</v>
      </c>
      <c r="O117" s="47" t="s">
        <v>346</v>
      </c>
      <c r="P117" s="47" t="s">
        <v>28</v>
      </c>
      <c r="Q117" s="47" t="s">
        <v>33</v>
      </c>
    </row>
    <row r="118" hidden="1" spans="1:17">
      <c r="A118" s="47" t="s">
        <v>17</v>
      </c>
      <c r="B118" s="48" t="s">
        <v>34</v>
      </c>
      <c r="C118" s="47">
        <v>220529</v>
      </c>
      <c r="D118" s="47" t="s">
        <v>35</v>
      </c>
      <c r="E118" s="47" t="s">
        <v>36</v>
      </c>
      <c r="F118" s="49" t="s">
        <v>347</v>
      </c>
      <c r="G118" s="47" t="s">
        <v>348</v>
      </c>
      <c r="H118" s="47" t="s">
        <v>149</v>
      </c>
      <c r="I118" s="47" t="s">
        <v>126</v>
      </c>
      <c r="J118" s="47" t="s">
        <v>25</v>
      </c>
      <c r="K118" s="51">
        <v>5100000</v>
      </c>
      <c r="L118" s="47" t="s">
        <v>26</v>
      </c>
      <c r="M118" s="52">
        <f t="shared" si="1"/>
        <v>5100000</v>
      </c>
      <c r="N118" s="53">
        <v>0.11765</v>
      </c>
      <c r="O118" s="47" t="s">
        <v>346</v>
      </c>
      <c r="P118" s="47" t="s">
        <v>226</v>
      </c>
      <c r="Q118" s="47" t="s">
        <v>33</v>
      </c>
    </row>
    <row r="119" hidden="1" spans="1:17">
      <c r="A119" s="47" t="s">
        <v>17</v>
      </c>
      <c r="B119" s="48" t="s">
        <v>34</v>
      </c>
      <c r="C119" s="47">
        <v>218965</v>
      </c>
      <c r="D119" s="47" t="s">
        <v>252</v>
      </c>
      <c r="E119" s="47" t="s">
        <v>36</v>
      </c>
      <c r="F119" s="49" t="s">
        <v>253</v>
      </c>
      <c r="G119" s="47" t="s">
        <v>349</v>
      </c>
      <c r="H119" s="47" t="s">
        <v>134</v>
      </c>
      <c r="I119" s="47" t="s">
        <v>135</v>
      </c>
      <c r="J119" s="47" t="s">
        <v>143</v>
      </c>
      <c r="K119" s="51">
        <v>1875000</v>
      </c>
      <c r="L119" s="47" t="s">
        <v>26</v>
      </c>
      <c r="M119" s="52">
        <f t="shared" si="1"/>
        <v>1875000</v>
      </c>
      <c r="N119" s="53">
        <v>0.2</v>
      </c>
      <c r="O119" s="47" t="s">
        <v>350</v>
      </c>
      <c r="P119" s="47" t="s">
        <v>351</v>
      </c>
      <c r="Q119" s="47" t="s">
        <v>100</v>
      </c>
    </row>
    <row r="120" hidden="1" spans="1:17">
      <c r="A120" s="47" t="s">
        <v>17</v>
      </c>
      <c r="B120" s="48" t="s">
        <v>18</v>
      </c>
      <c r="C120" s="47">
        <v>214280</v>
      </c>
      <c r="D120" s="47" t="s">
        <v>171</v>
      </c>
      <c r="E120" s="47" t="s">
        <v>172</v>
      </c>
      <c r="F120" s="49" t="s">
        <v>352</v>
      </c>
      <c r="G120" s="47" t="s">
        <v>353</v>
      </c>
      <c r="H120" s="47" t="s">
        <v>163</v>
      </c>
      <c r="I120" s="47" t="s">
        <v>135</v>
      </c>
      <c r="J120" s="47" t="s">
        <v>25</v>
      </c>
      <c r="K120" s="51">
        <v>2200000</v>
      </c>
      <c r="L120" s="47" t="s">
        <v>26</v>
      </c>
      <c r="M120" s="52">
        <f t="shared" si="1"/>
        <v>2200000</v>
      </c>
      <c r="N120" s="53">
        <v>0.19636</v>
      </c>
      <c r="O120" s="47" t="s">
        <v>354</v>
      </c>
      <c r="P120" s="47" t="s">
        <v>355</v>
      </c>
      <c r="Q120" s="47" t="s">
        <v>33</v>
      </c>
    </row>
    <row r="121" hidden="1" spans="1:17">
      <c r="A121" s="47" t="s">
        <v>17</v>
      </c>
      <c r="B121" s="48" t="s">
        <v>68</v>
      </c>
      <c r="C121" s="47">
        <v>220436</v>
      </c>
      <c r="D121" s="47" t="s">
        <v>96</v>
      </c>
      <c r="E121" s="47" t="s">
        <v>70</v>
      </c>
      <c r="F121" s="49" t="s">
        <v>356</v>
      </c>
      <c r="G121" s="47" t="s">
        <v>357</v>
      </c>
      <c r="H121" s="47" t="s">
        <v>125</v>
      </c>
      <c r="I121" s="47" t="s">
        <v>126</v>
      </c>
      <c r="J121" s="47" t="s">
        <v>25</v>
      </c>
      <c r="K121" s="51">
        <v>8000000</v>
      </c>
      <c r="L121" s="47" t="s">
        <v>26</v>
      </c>
      <c r="M121" s="52">
        <f t="shared" si="1"/>
        <v>8000000</v>
      </c>
      <c r="N121" s="53">
        <v>0.125</v>
      </c>
      <c r="O121" s="47" t="s">
        <v>354</v>
      </c>
      <c r="P121" s="47" t="s">
        <v>170</v>
      </c>
      <c r="Q121" s="47" t="s">
        <v>29</v>
      </c>
    </row>
    <row r="122" hidden="1" spans="1:17">
      <c r="A122" s="47" t="s">
        <v>17</v>
      </c>
      <c r="B122" s="48" t="s">
        <v>68</v>
      </c>
      <c r="C122" s="47">
        <v>216414</v>
      </c>
      <c r="D122" s="47" t="s">
        <v>358</v>
      </c>
      <c r="E122" s="47" t="s">
        <v>70</v>
      </c>
      <c r="F122" s="49" t="s">
        <v>359</v>
      </c>
      <c r="G122" s="47" t="s">
        <v>360</v>
      </c>
      <c r="H122" s="47" t="s">
        <v>125</v>
      </c>
      <c r="I122" s="47" t="s">
        <v>135</v>
      </c>
      <c r="J122" s="47" t="s">
        <v>25</v>
      </c>
      <c r="K122" s="55">
        <v>1200000.000048</v>
      </c>
      <c r="L122" s="47" t="s">
        <v>361</v>
      </c>
      <c r="M122" s="48">
        <f>K122*89</f>
        <v>106800000.004272</v>
      </c>
      <c r="N122" s="53">
        <v>0.16667</v>
      </c>
      <c r="O122" s="47" t="s">
        <v>362</v>
      </c>
      <c r="P122" s="47" t="s">
        <v>223</v>
      </c>
      <c r="Q122" s="47" t="s">
        <v>29</v>
      </c>
    </row>
    <row r="123" hidden="1" spans="1:17">
      <c r="A123" s="47" t="s">
        <v>17</v>
      </c>
      <c r="B123" s="48" t="s">
        <v>68</v>
      </c>
      <c r="C123" s="47">
        <v>220697</v>
      </c>
      <c r="D123" s="47" t="s">
        <v>204</v>
      </c>
      <c r="E123" s="47" t="s">
        <v>70</v>
      </c>
      <c r="F123" s="49" t="s">
        <v>363</v>
      </c>
      <c r="G123" s="47" t="s">
        <v>364</v>
      </c>
      <c r="H123" s="47" t="s">
        <v>134</v>
      </c>
      <c r="I123" s="47" t="s">
        <v>135</v>
      </c>
      <c r="J123" s="47" t="s">
        <v>45</v>
      </c>
      <c r="K123" s="51">
        <v>119999999.994</v>
      </c>
      <c r="L123" s="47" t="s">
        <v>26</v>
      </c>
      <c r="M123" s="52">
        <f t="shared" ref="M123:M148" si="2">K123</f>
        <v>119999999.994</v>
      </c>
      <c r="N123" s="53">
        <v>0.33333</v>
      </c>
      <c r="O123" s="47" t="s">
        <v>362</v>
      </c>
      <c r="P123" s="47" t="s">
        <v>240</v>
      </c>
      <c r="Q123" s="47" t="s">
        <v>259</v>
      </c>
    </row>
    <row r="124" hidden="1" spans="1:17">
      <c r="A124" s="47" t="s">
        <v>17</v>
      </c>
      <c r="B124" s="48" t="s">
        <v>18</v>
      </c>
      <c r="C124" s="47">
        <v>221827</v>
      </c>
      <c r="D124" s="47" t="s">
        <v>287</v>
      </c>
      <c r="E124" s="47" t="s">
        <v>20</v>
      </c>
      <c r="F124" s="49" t="s">
        <v>365</v>
      </c>
      <c r="G124" s="47" t="s">
        <v>366</v>
      </c>
      <c r="H124" s="47" t="s">
        <v>125</v>
      </c>
      <c r="I124" s="47" t="s">
        <v>135</v>
      </c>
      <c r="J124" s="47" t="s">
        <v>25</v>
      </c>
      <c r="K124" s="51">
        <v>2000000</v>
      </c>
      <c r="L124" s="47" t="s">
        <v>26</v>
      </c>
      <c r="M124" s="52">
        <f t="shared" si="2"/>
        <v>2000000</v>
      </c>
      <c r="N124" s="53">
        <v>0.15</v>
      </c>
      <c r="O124" s="47" t="s">
        <v>362</v>
      </c>
      <c r="P124" s="47" t="s">
        <v>367</v>
      </c>
      <c r="Q124" s="47" t="s">
        <v>259</v>
      </c>
    </row>
    <row r="125" hidden="1" spans="1:17">
      <c r="A125" s="47" t="s">
        <v>17</v>
      </c>
      <c r="B125" s="48" t="s">
        <v>103</v>
      </c>
      <c r="C125" s="47">
        <v>216405</v>
      </c>
      <c r="D125" s="47" t="s">
        <v>104</v>
      </c>
      <c r="E125" s="47" t="s">
        <v>105</v>
      </c>
      <c r="F125" s="49" t="s">
        <v>220</v>
      </c>
      <c r="G125" s="47" t="s">
        <v>368</v>
      </c>
      <c r="H125" s="47" t="s">
        <v>149</v>
      </c>
      <c r="I125" s="47" t="s">
        <v>126</v>
      </c>
      <c r="J125" s="47" t="s">
        <v>25</v>
      </c>
      <c r="K125" s="51">
        <v>33064629</v>
      </c>
      <c r="L125" s="47" t="s">
        <v>26</v>
      </c>
      <c r="M125" s="52">
        <f t="shared" si="2"/>
        <v>33064629</v>
      </c>
      <c r="N125" s="53">
        <v>0.1</v>
      </c>
      <c r="O125" s="47" t="s">
        <v>369</v>
      </c>
      <c r="P125" s="47" t="s">
        <v>223</v>
      </c>
      <c r="Q125" s="47" t="s">
        <v>33</v>
      </c>
    </row>
    <row r="126" hidden="1" spans="1:17">
      <c r="A126" s="47" t="s">
        <v>17</v>
      </c>
      <c r="B126" s="48" t="s">
        <v>34</v>
      </c>
      <c r="C126" s="47">
        <v>216425</v>
      </c>
      <c r="D126" s="47" t="s">
        <v>35</v>
      </c>
      <c r="E126" s="47" t="s">
        <v>36</v>
      </c>
      <c r="F126" s="49" t="s">
        <v>347</v>
      </c>
      <c r="G126" s="47" t="s">
        <v>370</v>
      </c>
      <c r="H126" s="47" t="s">
        <v>149</v>
      </c>
      <c r="I126" s="47" t="s">
        <v>126</v>
      </c>
      <c r="J126" s="47" t="s">
        <v>25</v>
      </c>
      <c r="K126" s="51">
        <v>8000000</v>
      </c>
      <c r="L126" s="47" t="s">
        <v>26</v>
      </c>
      <c r="M126" s="52">
        <f t="shared" si="2"/>
        <v>8000000</v>
      </c>
      <c r="N126" s="53">
        <v>0.125</v>
      </c>
      <c r="O126" s="47" t="s">
        <v>369</v>
      </c>
      <c r="P126" s="47" t="s">
        <v>270</v>
      </c>
      <c r="Q126" s="47" t="s">
        <v>259</v>
      </c>
    </row>
    <row r="127" hidden="1" spans="1:17">
      <c r="A127" s="47" t="s">
        <v>17</v>
      </c>
      <c r="B127" s="48" t="s">
        <v>40</v>
      </c>
      <c r="C127" s="47">
        <v>220048</v>
      </c>
      <c r="D127" s="47" t="s">
        <v>210</v>
      </c>
      <c r="E127" s="47" t="s">
        <v>42</v>
      </c>
      <c r="F127" s="49" t="s">
        <v>371</v>
      </c>
      <c r="G127" s="47" t="s">
        <v>372</v>
      </c>
      <c r="H127" s="47" t="s">
        <v>134</v>
      </c>
      <c r="I127" s="47" t="s">
        <v>135</v>
      </c>
      <c r="J127" s="47" t="s">
        <v>25</v>
      </c>
      <c r="K127" s="51">
        <v>60000000</v>
      </c>
      <c r="L127" s="47" t="s">
        <v>26</v>
      </c>
      <c r="M127" s="52">
        <f t="shared" si="2"/>
        <v>60000000</v>
      </c>
      <c r="N127" s="53">
        <v>0.25</v>
      </c>
      <c r="O127" s="47" t="s">
        <v>369</v>
      </c>
      <c r="P127" s="47" t="s">
        <v>373</v>
      </c>
      <c r="Q127" s="47" t="s">
        <v>209</v>
      </c>
    </row>
    <row r="128" hidden="1" spans="1:17">
      <c r="A128" s="47" t="s">
        <v>17</v>
      </c>
      <c r="B128" s="48" t="s">
        <v>103</v>
      </c>
      <c r="C128" s="47">
        <v>220386</v>
      </c>
      <c r="D128" s="47" t="s">
        <v>104</v>
      </c>
      <c r="E128" s="47" t="s">
        <v>105</v>
      </c>
      <c r="F128" s="49" t="s">
        <v>374</v>
      </c>
      <c r="G128" s="47" t="s">
        <v>375</v>
      </c>
      <c r="H128" s="47" t="s">
        <v>85</v>
      </c>
      <c r="I128" s="47" t="s">
        <v>86</v>
      </c>
      <c r="J128" s="47" t="s">
        <v>25</v>
      </c>
      <c r="K128" s="51">
        <v>10999999.9997556</v>
      </c>
      <c r="L128" s="47" t="s">
        <v>26</v>
      </c>
      <c r="M128" s="52">
        <f t="shared" si="2"/>
        <v>10999999.9997556</v>
      </c>
      <c r="N128" s="53">
        <v>0.18182</v>
      </c>
      <c r="O128" s="47" t="s">
        <v>369</v>
      </c>
      <c r="P128" s="47" t="s">
        <v>32</v>
      </c>
      <c r="Q128" s="47" t="s">
        <v>33</v>
      </c>
    </row>
    <row r="129" hidden="1" spans="1:17">
      <c r="A129" s="47" t="s">
        <v>17</v>
      </c>
      <c r="B129" s="48" t="s">
        <v>18</v>
      </c>
      <c r="C129" s="47">
        <v>220466</v>
      </c>
      <c r="D129" s="47" t="s">
        <v>275</v>
      </c>
      <c r="E129" s="47" t="s">
        <v>20</v>
      </c>
      <c r="F129" s="49" t="s">
        <v>376</v>
      </c>
      <c r="G129" s="47" t="s">
        <v>377</v>
      </c>
      <c r="H129" s="47" t="s">
        <v>134</v>
      </c>
      <c r="I129" s="47" t="s">
        <v>126</v>
      </c>
      <c r="J129" s="47" t="s">
        <v>25</v>
      </c>
      <c r="K129" s="54"/>
      <c r="L129" s="47" t="s">
        <v>26</v>
      </c>
      <c r="M129" s="52">
        <f t="shared" si="2"/>
        <v>0</v>
      </c>
      <c r="N129" s="54"/>
      <c r="O129" s="47" t="s">
        <v>369</v>
      </c>
      <c r="P129" s="47" t="s">
        <v>170</v>
      </c>
      <c r="Q129" s="47" t="s">
        <v>33</v>
      </c>
    </row>
    <row r="130" hidden="1" spans="1:17">
      <c r="A130" s="47" t="s">
        <v>17</v>
      </c>
      <c r="B130" s="48" t="s">
        <v>18</v>
      </c>
      <c r="C130" s="47">
        <v>220486</v>
      </c>
      <c r="D130" s="47" t="s">
        <v>275</v>
      </c>
      <c r="E130" s="47" t="s">
        <v>20</v>
      </c>
      <c r="F130" s="49" t="s">
        <v>378</v>
      </c>
      <c r="G130" s="47" t="s">
        <v>379</v>
      </c>
      <c r="H130" s="47" t="s">
        <v>134</v>
      </c>
      <c r="I130" s="47" t="s">
        <v>135</v>
      </c>
      <c r="J130" s="47" t="s">
        <v>25</v>
      </c>
      <c r="K130" s="54"/>
      <c r="L130" s="47" t="s">
        <v>26</v>
      </c>
      <c r="M130" s="52">
        <f t="shared" si="2"/>
        <v>0</v>
      </c>
      <c r="N130" s="54"/>
      <c r="O130" s="47" t="s">
        <v>369</v>
      </c>
      <c r="P130" s="47" t="s">
        <v>170</v>
      </c>
      <c r="Q130" s="47" t="s">
        <v>33</v>
      </c>
    </row>
    <row r="131" hidden="1" spans="1:17">
      <c r="A131" s="47" t="s">
        <v>17</v>
      </c>
      <c r="B131" s="48" t="s">
        <v>68</v>
      </c>
      <c r="C131" s="47">
        <v>220695</v>
      </c>
      <c r="D131" s="47" t="s">
        <v>204</v>
      </c>
      <c r="E131" s="47" t="s">
        <v>70</v>
      </c>
      <c r="F131" s="49" t="s">
        <v>380</v>
      </c>
      <c r="G131" s="47" t="s">
        <v>381</v>
      </c>
      <c r="H131" s="47" t="s">
        <v>163</v>
      </c>
      <c r="I131" s="47" t="s">
        <v>135</v>
      </c>
      <c r="J131" s="47" t="s">
        <v>45</v>
      </c>
      <c r="K131" s="51">
        <v>8000000</v>
      </c>
      <c r="L131" s="47" t="s">
        <v>26</v>
      </c>
      <c r="M131" s="52">
        <f t="shared" si="2"/>
        <v>8000000</v>
      </c>
      <c r="N131" s="53">
        <v>0.2</v>
      </c>
      <c r="O131" s="47" t="s">
        <v>369</v>
      </c>
      <c r="P131" s="47" t="s">
        <v>240</v>
      </c>
      <c r="Q131" s="47" t="s">
        <v>29</v>
      </c>
    </row>
    <row r="132" hidden="1" spans="1:17">
      <c r="A132" s="47" t="s">
        <v>17</v>
      </c>
      <c r="B132" s="48" t="s">
        <v>18</v>
      </c>
      <c r="C132" s="47">
        <v>220719</v>
      </c>
      <c r="D132" s="47" t="s">
        <v>146</v>
      </c>
      <c r="E132" s="47" t="s">
        <v>20</v>
      </c>
      <c r="F132" s="49" t="s">
        <v>382</v>
      </c>
      <c r="G132" s="47" t="s">
        <v>383</v>
      </c>
      <c r="H132" s="47" t="s">
        <v>125</v>
      </c>
      <c r="I132" s="47" t="s">
        <v>135</v>
      </c>
      <c r="J132" s="47" t="s">
        <v>25</v>
      </c>
      <c r="K132" s="51">
        <v>3500000</v>
      </c>
      <c r="L132" s="47" t="s">
        <v>26</v>
      </c>
      <c r="M132" s="52">
        <f t="shared" si="2"/>
        <v>3500000</v>
      </c>
      <c r="N132" s="54"/>
      <c r="O132" s="47" t="s">
        <v>369</v>
      </c>
      <c r="P132" s="47" t="s">
        <v>219</v>
      </c>
      <c r="Q132" s="47" t="s">
        <v>29</v>
      </c>
    </row>
    <row r="133" hidden="1" spans="1:17">
      <c r="A133" s="47" t="s">
        <v>17</v>
      </c>
      <c r="B133" s="48" t="s">
        <v>34</v>
      </c>
      <c r="C133" s="47">
        <v>220956</v>
      </c>
      <c r="D133" s="47" t="s">
        <v>48</v>
      </c>
      <c r="E133" s="47" t="s">
        <v>49</v>
      </c>
      <c r="F133" s="49" t="s">
        <v>384</v>
      </c>
      <c r="G133" s="47" t="s">
        <v>385</v>
      </c>
      <c r="H133" s="47" t="s">
        <v>125</v>
      </c>
      <c r="I133" s="47" t="s">
        <v>86</v>
      </c>
      <c r="J133" s="47" t="s">
        <v>25</v>
      </c>
      <c r="K133" s="51">
        <v>1277777.78</v>
      </c>
      <c r="L133" s="47" t="s">
        <v>26</v>
      </c>
      <c r="M133" s="52">
        <f t="shared" si="2"/>
        <v>1277777.78</v>
      </c>
      <c r="N133" s="53">
        <v>0.1</v>
      </c>
      <c r="O133" s="47" t="s">
        <v>386</v>
      </c>
      <c r="P133" s="47" t="s">
        <v>79</v>
      </c>
      <c r="Q133" s="47" t="s">
        <v>33</v>
      </c>
    </row>
    <row r="134" hidden="1" spans="1:17">
      <c r="A134" s="47" t="s">
        <v>17</v>
      </c>
      <c r="B134" s="48" t="s">
        <v>34</v>
      </c>
      <c r="C134" s="47">
        <v>221544</v>
      </c>
      <c r="D134" s="47" t="s">
        <v>35</v>
      </c>
      <c r="E134" s="47" t="s">
        <v>36</v>
      </c>
      <c r="F134" s="49" t="s">
        <v>347</v>
      </c>
      <c r="G134" s="47" t="s">
        <v>387</v>
      </c>
      <c r="H134" s="47" t="s">
        <v>125</v>
      </c>
      <c r="I134" s="47" t="s">
        <v>135</v>
      </c>
      <c r="J134" s="47" t="s">
        <v>25</v>
      </c>
      <c r="K134" s="51">
        <v>23529411.76</v>
      </c>
      <c r="L134" s="47" t="s">
        <v>26</v>
      </c>
      <c r="M134" s="52">
        <f t="shared" si="2"/>
        <v>23529411.76</v>
      </c>
      <c r="N134" s="53">
        <v>0.15</v>
      </c>
      <c r="O134" s="47" t="s">
        <v>386</v>
      </c>
      <c r="P134" s="47" t="s">
        <v>388</v>
      </c>
      <c r="Q134" s="47" t="s">
        <v>33</v>
      </c>
    </row>
    <row r="135" hidden="1" spans="1:17">
      <c r="A135" s="47" t="s">
        <v>17</v>
      </c>
      <c r="B135" s="48" t="s">
        <v>103</v>
      </c>
      <c r="C135" s="47">
        <v>223042</v>
      </c>
      <c r="D135" s="47" t="s">
        <v>389</v>
      </c>
      <c r="E135" s="47" t="s">
        <v>105</v>
      </c>
      <c r="F135" s="49" t="s">
        <v>390</v>
      </c>
      <c r="G135" s="47" t="s">
        <v>391</v>
      </c>
      <c r="H135" s="47" t="s">
        <v>149</v>
      </c>
      <c r="I135" s="47" t="s">
        <v>126</v>
      </c>
      <c r="J135" s="47" t="s">
        <v>62</v>
      </c>
      <c r="K135" s="51">
        <v>1650000</v>
      </c>
      <c r="L135" s="47" t="s">
        <v>26</v>
      </c>
      <c r="M135" s="52">
        <f t="shared" si="2"/>
        <v>1650000</v>
      </c>
      <c r="N135" s="53">
        <v>0.15152</v>
      </c>
      <c r="O135" s="47" t="s">
        <v>386</v>
      </c>
      <c r="P135" s="47" t="s">
        <v>266</v>
      </c>
      <c r="Q135" s="47" t="s">
        <v>65</v>
      </c>
    </row>
    <row r="136" hidden="1" spans="1:17">
      <c r="A136" s="47" t="s">
        <v>17</v>
      </c>
      <c r="B136" s="48" t="s">
        <v>103</v>
      </c>
      <c r="C136" s="47">
        <v>223252</v>
      </c>
      <c r="D136" s="47" t="s">
        <v>104</v>
      </c>
      <c r="E136" s="47" t="s">
        <v>105</v>
      </c>
      <c r="F136" s="49" t="s">
        <v>392</v>
      </c>
      <c r="G136" s="47" t="s">
        <v>393</v>
      </c>
      <c r="H136" s="47" t="s">
        <v>125</v>
      </c>
      <c r="I136" s="47" t="s">
        <v>135</v>
      </c>
      <c r="J136" s="47" t="s">
        <v>25</v>
      </c>
      <c r="K136" s="51">
        <v>11500000</v>
      </c>
      <c r="L136" s="47" t="s">
        <v>26</v>
      </c>
      <c r="M136" s="52">
        <f t="shared" si="2"/>
        <v>11500000</v>
      </c>
      <c r="N136" s="53">
        <v>0.17391</v>
      </c>
      <c r="O136" s="47" t="s">
        <v>386</v>
      </c>
      <c r="P136" s="47" t="s">
        <v>47</v>
      </c>
      <c r="Q136" s="47" t="s">
        <v>33</v>
      </c>
    </row>
    <row r="137" spans="1:17">
      <c r="A137" s="47" t="s">
        <v>17</v>
      </c>
      <c r="B137" s="48" t="s">
        <v>34</v>
      </c>
      <c r="C137" s="47">
        <v>223722</v>
      </c>
      <c r="D137" s="47" t="s">
        <v>48</v>
      </c>
      <c r="E137" s="47" t="s">
        <v>49</v>
      </c>
      <c r="F137" s="49" t="s">
        <v>50</v>
      </c>
      <c r="G137" s="47" t="s">
        <v>394</v>
      </c>
      <c r="H137" s="47" t="s">
        <v>163</v>
      </c>
      <c r="I137" s="47" t="s">
        <v>126</v>
      </c>
      <c r="J137" s="47" t="s">
        <v>25</v>
      </c>
      <c r="K137" s="51">
        <v>18902439.02</v>
      </c>
      <c r="L137" s="47" t="s">
        <v>26</v>
      </c>
      <c r="M137" s="52">
        <f t="shared" si="2"/>
        <v>18902439.02</v>
      </c>
      <c r="N137" s="53">
        <v>0.18</v>
      </c>
      <c r="O137" s="47" t="s">
        <v>386</v>
      </c>
      <c r="P137" s="47" t="s">
        <v>159</v>
      </c>
      <c r="Q137" s="47" t="s">
        <v>33</v>
      </c>
    </row>
    <row r="138" hidden="1" spans="1:17">
      <c r="A138" s="47" t="s">
        <v>17</v>
      </c>
      <c r="B138" s="48" t="s">
        <v>34</v>
      </c>
      <c r="C138" s="47">
        <v>223130</v>
      </c>
      <c r="D138" s="47" t="s">
        <v>35</v>
      </c>
      <c r="E138" s="47" t="s">
        <v>36</v>
      </c>
      <c r="F138" s="49" t="s">
        <v>395</v>
      </c>
      <c r="G138" s="47" t="s">
        <v>396</v>
      </c>
      <c r="H138" s="47" t="s">
        <v>125</v>
      </c>
      <c r="I138" s="47" t="s">
        <v>135</v>
      </c>
      <c r="J138" s="47" t="s">
        <v>25</v>
      </c>
      <c r="K138" s="51">
        <v>11363636.36</v>
      </c>
      <c r="L138" s="47" t="s">
        <v>26</v>
      </c>
      <c r="M138" s="52">
        <f t="shared" si="2"/>
        <v>11363636.36</v>
      </c>
      <c r="N138" s="53">
        <v>0.12</v>
      </c>
      <c r="O138" s="47" t="s">
        <v>397</v>
      </c>
      <c r="P138" s="47" t="s">
        <v>398</v>
      </c>
      <c r="Q138" s="47" t="s">
        <v>33</v>
      </c>
    </row>
    <row r="139" hidden="1" spans="1:17">
      <c r="A139" s="47" t="s">
        <v>17</v>
      </c>
      <c r="B139" s="48" t="s">
        <v>34</v>
      </c>
      <c r="C139" s="47">
        <v>223203</v>
      </c>
      <c r="D139" s="47" t="s">
        <v>278</v>
      </c>
      <c r="E139" s="47" t="s">
        <v>36</v>
      </c>
      <c r="F139" s="49" t="s">
        <v>399</v>
      </c>
      <c r="G139" s="47" t="s">
        <v>400</v>
      </c>
      <c r="H139" s="47" t="s">
        <v>163</v>
      </c>
      <c r="I139" s="47" t="s">
        <v>135</v>
      </c>
      <c r="J139" s="47" t="s">
        <v>25</v>
      </c>
      <c r="K139" s="51">
        <v>2500000</v>
      </c>
      <c r="L139" s="47" t="s">
        <v>26</v>
      </c>
      <c r="M139" s="52">
        <f t="shared" si="2"/>
        <v>2500000</v>
      </c>
      <c r="N139" s="53">
        <v>0.16</v>
      </c>
      <c r="O139" s="47" t="s">
        <v>397</v>
      </c>
      <c r="P139" s="47" t="s">
        <v>401</v>
      </c>
      <c r="Q139" s="47" t="s">
        <v>29</v>
      </c>
    </row>
    <row r="140" hidden="1" spans="1:17">
      <c r="A140" s="47" t="s">
        <v>17</v>
      </c>
      <c r="B140" s="48" t="s">
        <v>18</v>
      </c>
      <c r="C140" s="47">
        <v>214442</v>
      </c>
      <c r="D140" s="47" t="s">
        <v>171</v>
      </c>
      <c r="E140" s="47" t="s">
        <v>172</v>
      </c>
      <c r="F140" s="49" t="s">
        <v>88</v>
      </c>
      <c r="G140" s="47" t="s">
        <v>402</v>
      </c>
      <c r="H140" s="47" t="s">
        <v>163</v>
      </c>
      <c r="I140" s="47" t="s">
        <v>135</v>
      </c>
      <c r="J140" s="47" t="s">
        <v>25</v>
      </c>
      <c r="K140" s="51">
        <v>20000000</v>
      </c>
      <c r="L140" s="47" t="s">
        <v>26</v>
      </c>
      <c r="M140" s="52">
        <f t="shared" si="2"/>
        <v>20000000</v>
      </c>
      <c r="N140" s="53">
        <v>0.2</v>
      </c>
      <c r="O140" s="47" t="s">
        <v>403</v>
      </c>
      <c r="P140" s="47" t="s">
        <v>404</v>
      </c>
      <c r="Q140" s="47" t="s">
        <v>33</v>
      </c>
    </row>
    <row r="141" hidden="1" spans="1:17">
      <c r="A141" s="47" t="s">
        <v>17</v>
      </c>
      <c r="B141" s="48" t="s">
        <v>18</v>
      </c>
      <c r="C141" s="47">
        <v>220403</v>
      </c>
      <c r="D141" s="47" t="s">
        <v>19</v>
      </c>
      <c r="E141" s="47" t="s">
        <v>20</v>
      </c>
      <c r="F141" s="49" t="s">
        <v>405</v>
      </c>
      <c r="G141" s="47" t="s">
        <v>406</v>
      </c>
      <c r="H141" s="47" t="s">
        <v>125</v>
      </c>
      <c r="I141" s="47" t="s">
        <v>135</v>
      </c>
      <c r="J141" s="47" t="s">
        <v>25</v>
      </c>
      <c r="K141" s="51">
        <v>120000000</v>
      </c>
      <c r="L141" s="47" t="s">
        <v>26</v>
      </c>
      <c r="M141" s="52">
        <f t="shared" si="2"/>
        <v>120000000</v>
      </c>
      <c r="N141" s="53">
        <v>0.16667</v>
      </c>
      <c r="O141" s="47" t="s">
        <v>403</v>
      </c>
      <c r="P141" s="47" t="s">
        <v>170</v>
      </c>
      <c r="Q141" s="47" t="s">
        <v>100</v>
      </c>
    </row>
    <row r="142" hidden="1" spans="1:17">
      <c r="A142" s="47" t="s">
        <v>17</v>
      </c>
      <c r="B142" s="48" t="s">
        <v>34</v>
      </c>
      <c r="C142" s="47">
        <v>220830</v>
      </c>
      <c r="D142" s="47" t="s">
        <v>48</v>
      </c>
      <c r="E142" s="47" t="s">
        <v>49</v>
      </c>
      <c r="F142" s="49" t="s">
        <v>407</v>
      </c>
      <c r="G142" s="47" t="s">
        <v>408</v>
      </c>
      <c r="H142" s="47" t="s">
        <v>125</v>
      </c>
      <c r="I142" s="47" t="s">
        <v>135</v>
      </c>
      <c r="J142" s="47" t="s">
        <v>25</v>
      </c>
      <c r="K142" s="51">
        <v>25000000</v>
      </c>
      <c r="L142" s="47" t="s">
        <v>26</v>
      </c>
      <c r="M142" s="52">
        <f t="shared" si="2"/>
        <v>25000000</v>
      </c>
      <c r="N142" s="53">
        <v>0.12</v>
      </c>
      <c r="O142" s="47" t="s">
        <v>403</v>
      </c>
      <c r="P142" s="47" t="s">
        <v>77</v>
      </c>
      <c r="Q142" s="47" t="s">
        <v>100</v>
      </c>
    </row>
    <row r="143" hidden="1" spans="1:17">
      <c r="A143" s="47" t="s">
        <v>17</v>
      </c>
      <c r="B143" s="48" t="s">
        <v>103</v>
      </c>
      <c r="C143" s="47">
        <v>223247</v>
      </c>
      <c r="D143" s="47" t="s">
        <v>326</v>
      </c>
      <c r="E143" s="47" t="s">
        <v>117</v>
      </c>
      <c r="F143" s="49" t="s">
        <v>409</v>
      </c>
      <c r="G143" s="47" t="s">
        <v>410</v>
      </c>
      <c r="H143" s="47" t="s">
        <v>125</v>
      </c>
      <c r="I143" s="47" t="s">
        <v>126</v>
      </c>
      <c r="J143" s="47" t="s">
        <v>62</v>
      </c>
      <c r="K143" s="51">
        <v>2728000.01</v>
      </c>
      <c r="L143" s="47" t="s">
        <v>26</v>
      </c>
      <c r="M143" s="52">
        <f t="shared" si="2"/>
        <v>2728000.01</v>
      </c>
      <c r="N143" s="53">
        <v>0.19355</v>
      </c>
      <c r="O143" s="47" t="s">
        <v>403</v>
      </c>
      <c r="P143" s="47" t="s">
        <v>47</v>
      </c>
      <c r="Q143" s="47" t="s">
        <v>29</v>
      </c>
    </row>
    <row r="144" hidden="1" spans="1:17">
      <c r="A144" s="47" t="s">
        <v>17</v>
      </c>
      <c r="B144" s="48" t="s">
        <v>18</v>
      </c>
      <c r="C144" s="47">
        <v>223770</v>
      </c>
      <c r="D144" s="47" t="s">
        <v>19</v>
      </c>
      <c r="E144" s="47" t="s">
        <v>20</v>
      </c>
      <c r="F144" s="49" t="s">
        <v>405</v>
      </c>
      <c r="G144" s="47" t="s">
        <v>411</v>
      </c>
      <c r="H144" s="47" t="s">
        <v>125</v>
      </c>
      <c r="I144" s="47" t="s">
        <v>135</v>
      </c>
      <c r="J144" s="47" t="s">
        <v>25</v>
      </c>
      <c r="K144" s="51">
        <v>80000000</v>
      </c>
      <c r="L144" s="47" t="s">
        <v>26</v>
      </c>
      <c r="M144" s="52">
        <f t="shared" si="2"/>
        <v>80000000</v>
      </c>
      <c r="N144" s="53">
        <v>0.125</v>
      </c>
      <c r="O144" s="47" t="s">
        <v>403</v>
      </c>
      <c r="P144" s="47" t="s">
        <v>87</v>
      </c>
      <c r="Q144" s="47" t="s">
        <v>33</v>
      </c>
    </row>
    <row r="145" hidden="1" spans="1:17">
      <c r="A145" s="47" t="s">
        <v>17</v>
      </c>
      <c r="B145" s="48" t="s">
        <v>18</v>
      </c>
      <c r="C145" s="47">
        <v>223776</v>
      </c>
      <c r="D145" s="47" t="s">
        <v>19</v>
      </c>
      <c r="E145" s="47" t="s">
        <v>20</v>
      </c>
      <c r="F145" s="49" t="s">
        <v>405</v>
      </c>
      <c r="G145" s="47" t="s">
        <v>412</v>
      </c>
      <c r="H145" s="47" t="s">
        <v>163</v>
      </c>
      <c r="I145" s="47" t="s">
        <v>135</v>
      </c>
      <c r="J145" s="47" t="s">
        <v>25</v>
      </c>
      <c r="K145" s="51">
        <v>30000000</v>
      </c>
      <c r="L145" s="47" t="s">
        <v>26</v>
      </c>
      <c r="M145" s="52">
        <f t="shared" si="2"/>
        <v>30000000</v>
      </c>
      <c r="N145" s="53">
        <v>0.16667</v>
      </c>
      <c r="O145" s="47" t="s">
        <v>403</v>
      </c>
      <c r="P145" s="47" t="s">
        <v>87</v>
      </c>
      <c r="Q145" s="47" t="s">
        <v>100</v>
      </c>
    </row>
    <row r="146" hidden="1" spans="1:17">
      <c r="A146" s="47" t="s">
        <v>17</v>
      </c>
      <c r="B146" s="48" t="s">
        <v>18</v>
      </c>
      <c r="C146" s="47">
        <v>213806</v>
      </c>
      <c r="D146" s="47" t="s">
        <v>171</v>
      </c>
      <c r="E146" s="47" t="s">
        <v>172</v>
      </c>
      <c r="F146" s="49" t="s">
        <v>173</v>
      </c>
      <c r="G146" s="47" t="s">
        <v>413</v>
      </c>
      <c r="H146" s="47" t="s">
        <v>163</v>
      </c>
      <c r="I146" s="47" t="s">
        <v>135</v>
      </c>
      <c r="J146" s="47" t="s">
        <v>25</v>
      </c>
      <c r="K146" s="51">
        <v>10000000</v>
      </c>
      <c r="L146" s="47" t="s">
        <v>26</v>
      </c>
      <c r="M146" s="52">
        <f t="shared" si="2"/>
        <v>10000000</v>
      </c>
      <c r="N146" s="53">
        <v>0.2</v>
      </c>
      <c r="O146" s="47" t="s">
        <v>414</v>
      </c>
      <c r="P146" s="47" t="s">
        <v>415</v>
      </c>
      <c r="Q146" s="47" t="s">
        <v>29</v>
      </c>
    </row>
    <row r="147" hidden="1" spans="1:17">
      <c r="A147" s="47" t="s">
        <v>17</v>
      </c>
      <c r="B147" s="48" t="s">
        <v>18</v>
      </c>
      <c r="C147" s="47">
        <v>215885</v>
      </c>
      <c r="D147" s="47" t="s">
        <v>171</v>
      </c>
      <c r="E147" s="47" t="s">
        <v>172</v>
      </c>
      <c r="F147" s="49" t="s">
        <v>290</v>
      </c>
      <c r="G147" s="47" t="s">
        <v>416</v>
      </c>
      <c r="H147" s="47" t="s">
        <v>149</v>
      </c>
      <c r="I147" s="47" t="s">
        <v>126</v>
      </c>
      <c r="J147" s="47" t="s">
        <v>25</v>
      </c>
      <c r="K147" s="51">
        <v>45000000</v>
      </c>
      <c r="L147" s="47" t="s">
        <v>26</v>
      </c>
      <c r="M147" s="52">
        <f t="shared" si="2"/>
        <v>45000000</v>
      </c>
      <c r="N147" s="53">
        <v>0.12</v>
      </c>
      <c r="O147" s="47" t="s">
        <v>414</v>
      </c>
      <c r="P147" s="47" t="s">
        <v>417</v>
      </c>
      <c r="Q147" s="47" t="s">
        <v>100</v>
      </c>
    </row>
    <row r="148" hidden="1" spans="1:17">
      <c r="A148" s="47" t="s">
        <v>17</v>
      </c>
      <c r="B148" s="48" t="s">
        <v>40</v>
      </c>
      <c r="C148" s="47">
        <v>216384</v>
      </c>
      <c r="D148" s="47" t="s">
        <v>41</v>
      </c>
      <c r="E148" s="47" t="s">
        <v>42</v>
      </c>
      <c r="F148" s="49" t="s">
        <v>418</v>
      </c>
      <c r="G148" s="47" t="s">
        <v>419</v>
      </c>
      <c r="H148" s="47" t="s">
        <v>163</v>
      </c>
      <c r="I148" s="47" t="s">
        <v>135</v>
      </c>
      <c r="J148" s="47" t="s">
        <v>45</v>
      </c>
      <c r="K148" s="51">
        <v>8000000</v>
      </c>
      <c r="L148" s="47" t="s">
        <v>26</v>
      </c>
      <c r="M148" s="52">
        <f t="shared" si="2"/>
        <v>8000000</v>
      </c>
      <c r="N148" s="53">
        <v>0.125</v>
      </c>
      <c r="O148" s="47" t="s">
        <v>414</v>
      </c>
      <c r="P148" s="47" t="s">
        <v>127</v>
      </c>
      <c r="Q148" s="47" t="s">
        <v>33</v>
      </c>
    </row>
    <row r="149" hidden="1" spans="1:17">
      <c r="A149" s="47" t="s">
        <v>17</v>
      </c>
      <c r="B149" s="48" t="s">
        <v>68</v>
      </c>
      <c r="C149" s="47">
        <v>216417</v>
      </c>
      <c r="D149" s="47" t="s">
        <v>358</v>
      </c>
      <c r="E149" s="47" t="s">
        <v>70</v>
      </c>
      <c r="F149" s="49" t="s">
        <v>420</v>
      </c>
      <c r="G149" s="47" t="s">
        <v>421</v>
      </c>
      <c r="H149" s="47" t="s">
        <v>125</v>
      </c>
      <c r="I149" s="47" t="s">
        <v>135</v>
      </c>
      <c r="J149" s="47" t="s">
        <v>25</v>
      </c>
      <c r="K149" s="55">
        <v>861498.26</v>
      </c>
      <c r="L149" s="47" t="s">
        <v>361</v>
      </c>
      <c r="M149" s="48">
        <f>K149*89</f>
        <v>76673345.14</v>
      </c>
      <c r="N149" s="53">
        <v>0.17005</v>
      </c>
      <c r="O149" s="47" t="s">
        <v>414</v>
      </c>
      <c r="P149" s="47" t="s">
        <v>270</v>
      </c>
      <c r="Q149" s="47" t="s">
        <v>29</v>
      </c>
    </row>
    <row r="150" hidden="1" spans="1:17">
      <c r="A150" s="47" t="s">
        <v>17</v>
      </c>
      <c r="B150" s="48" t="s">
        <v>68</v>
      </c>
      <c r="C150" s="47">
        <v>220416</v>
      </c>
      <c r="D150" s="47" t="s">
        <v>281</v>
      </c>
      <c r="E150" s="47" t="s">
        <v>70</v>
      </c>
      <c r="F150" s="49" t="s">
        <v>422</v>
      </c>
      <c r="G150" s="47" t="s">
        <v>423</v>
      </c>
      <c r="H150" s="47" t="s">
        <v>149</v>
      </c>
      <c r="I150" s="47" t="s">
        <v>126</v>
      </c>
      <c r="J150" s="47" t="s">
        <v>25</v>
      </c>
      <c r="K150" s="51">
        <v>70047599.61</v>
      </c>
      <c r="L150" s="47" t="s">
        <v>26</v>
      </c>
      <c r="M150" s="52">
        <f t="shared" ref="M150:M213" si="3">K150</f>
        <v>70047599.61</v>
      </c>
      <c r="N150" s="53">
        <v>0.14058</v>
      </c>
      <c r="O150" s="47" t="s">
        <v>414</v>
      </c>
      <c r="P150" s="47" t="s">
        <v>170</v>
      </c>
      <c r="Q150" s="47" t="s">
        <v>29</v>
      </c>
    </row>
    <row r="151" hidden="1" spans="1:17">
      <c r="A151" s="47" t="s">
        <v>17</v>
      </c>
      <c r="B151" s="48" t="s">
        <v>68</v>
      </c>
      <c r="C151" s="47">
        <v>220500</v>
      </c>
      <c r="D151" s="47" t="s">
        <v>281</v>
      </c>
      <c r="E151" s="47" t="s">
        <v>70</v>
      </c>
      <c r="F151" s="49" t="s">
        <v>422</v>
      </c>
      <c r="G151" s="47" t="s">
        <v>424</v>
      </c>
      <c r="H151" s="47" t="s">
        <v>134</v>
      </c>
      <c r="I151" s="47" t="s">
        <v>135</v>
      </c>
      <c r="J151" s="47" t="s">
        <v>25</v>
      </c>
      <c r="K151" s="51">
        <v>8000000</v>
      </c>
      <c r="L151" s="47" t="s">
        <v>26</v>
      </c>
      <c r="M151" s="52">
        <f t="shared" si="3"/>
        <v>8000000</v>
      </c>
      <c r="N151" s="53">
        <v>0.15</v>
      </c>
      <c r="O151" s="47" t="s">
        <v>414</v>
      </c>
      <c r="P151" s="47" t="s">
        <v>170</v>
      </c>
      <c r="Q151" s="47" t="s">
        <v>33</v>
      </c>
    </row>
    <row r="152" hidden="1" spans="1:17">
      <c r="A152" s="47" t="s">
        <v>17</v>
      </c>
      <c r="B152" s="48" t="s">
        <v>68</v>
      </c>
      <c r="C152" s="47">
        <v>220516</v>
      </c>
      <c r="D152" s="47" t="s">
        <v>204</v>
      </c>
      <c r="E152" s="47" t="s">
        <v>70</v>
      </c>
      <c r="F152" s="49" t="s">
        <v>425</v>
      </c>
      <c r="G152" s="47" t="s">
        <v>426</v>
      </c>
      <c r="H152" s="47" t="s">
        <v>149</v>
      </c>
      <c r="I152" s="47" t="s">
        <v>86</v>
      </c>
      <c r="J152" s="47" t="s">
        <v>45</v>
      </c>
      <c r="K152" s="51">
        <v>13500000.0007425</v>
      </c>
      <c r="L152" s="47" t="s">
        <v>26</v>
      </c>
      <c r="M152" s="52">
        <f t="shared" si="3"/>
        <v>13500000.0007425</v>
      </c>
      <c r="N152" s="53">
        <v>0.25926</v>
      </c>
      <c r="O152" s="47" t="s">
        <v>414</v>
      </c>
      <c r="P152" s="47" t="s">
        <v>170</v>
      </c>
      <c r="Q152" s="47" t="s">
        <v>209</v>
      </c>
    </row>
    <row r="153" hidden="1" spans="1:17">
      <c r="A153" s="47" t="s">
        <v>17</v>
      </c>
      <c r="B153" s="48" t="s">
        <v>18</v>
      </c>
      <c r="C153" s="47">
        <v>220668</v>
      </c>
      <c r="D153" s="47" t="s">
        <v>171</v>
      </c>
      <c r="E153" s="47" t="s">
        <v>172</v>
      </c>
      <c r="F153" s="49" t="s">
        <v>290</v>
      </c>
      <c r="G153" s="47" t="s">
        <v>427</v>
      </c>
      <c r="H153" s="47" t="s">
        <v>163</v>
      </c>
      <c r="I153" s="47" t="s">
        <v>135</v>
      </c>
      <c r="J153" s="47" t="s">
        <v>25</v>
      </c>
      <c r="K153" s="51">
        <v>5000000</v>
      </c>
      <c r="L153" s="47" t="s">
        <v>26</v>
      </c>
      <c r="M153" s="52">
        <f t="shared" si="3"/>
        <v>5000000</v>
      </c>
      <c r="N153" s="53">
        <v>0.2</v>
      </c>
      <c r="O153" s="47" t="s">
        <v>414</v>
      </c>
      <c r="P153" s="47" t="s">
        <v>428</v>
      </c>
      <c r="Q153" s="47" t="s">
        <v>29</v>
      </c>
    </row>
    <row r="154" hidden="1" spans="1:17">
      <c r="A154" s="47" t="s">
        <v>17</v>
      </c>
      <c r="B154" s="48" t="s">
        <v>34</v>
      </c>
      <c r="C154" s="47">
        <v>220758</v>
      </c>
      <c r="D154" s="47" t="s">
        <v>48</v>
      </c>
      <c r="E154" s="47" t="s">
        <v>49</v>
      </c>
      <c r="F154" s="49" t="s">
        <v>429</v>
      </c>
      <c r="G154" s="47" t="s">
        <v>430</v>
      </c>
      <c r="H154" s="47" t="s">
        <v>125</v>
      </c>
      <c r="I154" s="47" t="s">
        <v>126</v>
      </c>
      <c r="J154" s="47" t="s">
        <v>25</v>
      </c>
      <c r="K154" s="51">
        <v>22093023.26</v>
      </c>
      <c r="L154" s="47" t="s">
        <v>26</v>
      </c>
      <c r="M154" s="52">
        <f t="shared" si="3"/>
        <v>22093023.26</v>
      </c>
      <c r="N154" s="53">
        <v>0.14</v>
      </c>
      <c r="O154" s="47" t="s">
        <v>414</v>
      </c>
      <c r="P154" s="47" t="s">
        <v>219</v>
      </c>
      <c r="Q154" s="47" t="s">
        <v>100</v>
      </c>
    </row>
    <row r="155" hidden="1" spans="1:17">
      <c r="A155" s="47" t="s">
        <v>17</v>
      </c>
      <c r="B155" s="48" t="s">
        <v>34</v>
      </c>
      <c r="C155" s="47">
        <v>220759</v>
      </c>
      <c r="D155" s="47" t="s">
        <v>48</v>
      </c>
      <c r="E155" s="47" t="s">
        <v>49</v>
      </c>
      <c r="F155" s="49" t="s">
        <v>384</v>
      </c>
      <c r="G155" s="47" t="s">
        <v>431</v>
      </c>
      <c r="H155" s="47" t="s">
        <v>163</v>
      </c>
      <c r="I155" s="47" t="s">
        <v>135</v>
      </c>
      <c r="J155" s="47" t="s">
        <v>25</v>
      </c>
      <c r="K155" s="51">
        <v>3181818.18</v>
      </c>
      <c r="L155" s="47" t="s">
        <v>26</v>
      </c>
      <c r="M155" s="52">
        <f t="shared" si="3"/>
        <v>3181818.18</v>
      </c>
      <c r="N155" s="53">
        <v>0.12</v>
      </c>
      <c r="O155" s="47" t="s">
        <v>414</v>
      </c>
      <c r="P155" s="47" t="s">
        <v>219</v>
      </c>
      <c r="Q155" s="47" t="s">
        <v>100</v>
      </c>
    </row>
    <row r="156" hidden="1" spans="1:17">
      <c r="A156" s="47" t="s">
        <v>17</v>
      </c>
      <c r="B156" s="48" t="s">
        <v>103</v>
      </c>
      <c r="C156" s="47">
        <v>220993</v>
      </c>
      <c r="D156" s="47" t="s">
        <v>104</v>
      </c>
      <c r="E156" s="47" t="s">
        <v>105</v>
      </c>
      <c r="F156" s="49" t="s">
        <v>432</v>
      </c>
      <c r="G156" s="47" t="s">
        <v>433</v>
      </c>
      <c r="H156" s="47" t="s">
        <v>125</v>
      </c>
      <c r="I156" s="47" t="s">
        <v>135</v>
      </c>
      <c r="J156" s="47" t="s">
        <v>25</v>
      </c>
      <c r="K156" s="51">
        <v>750000000</v>
      </c>
      <c r="L156" s="47" t="s">
        <v>26</v>
      </c>
      <c r="M156" s="52">
        <f t="shared" si="3"/>
        <v>750000000</v>
      </c>
      <c r="N156" s="53">
        <v>0.12176</v>
      </c>
      <c r="O156" s="47" t="s">
        <v>414</v>
      </c>
      <c r="P156" s="47" t="s">
        <v>434</v>
      </c>
      <c r="Q156" s="47" t="s">
        <v>33</v>
      </c>
    </row>
    <row r="157" hidden="1" spans="1:17">
      <c r="A157" s="47" t="s">
        <v>17</v>
      </c>
      <c r="B157" s="48" t="s">
        <v>103</v>
      </c>
      <c r="C157" s="47">
        <v>221855</v>
      </c>
      <c r="D157" s="47" t="s">
        <v>435</v>
      </c>
      <c r="E157" s="47" t="s">
        <v>105</v>
      </c>
      <c r="F157" s="49" t="s">
        <v>436</v>
      </c>
      <c r="G157" s="47" t="s">
        <v>437</v>
      </c>
      <c r="H157" s="47" t="s">
        <v>163</v>
      </c>
      <c r="I157" s="47" t="s">
        <v>135</v>
      </c>
      <c r="J157" s="47" t="s">
        <v>25</v>
      </c>
      <c r="K157" s="51">
        <v>8024666.4</v>
      </c>
      <c r="L157" s="47" t="s">
        <v>26</v>
      </c>
      <c r="M157" s="52">
        <f t="shared" si="3"/>
        <v>8024666.4</v>
      </c>
      <c r="N157" s="53">
        <v>0.1</v>
      </c>
      <c r="O157" s="47" t="s">
        <v>414</v>
      </c>
      <c r="P157" s="47" t="s">
        <v>367</v>
      </c>
      <c r="Q157" s="47" t="s">
        <v>29</v>
      </c>
    </row>
    <row r="158" hidden="1" spans="1:17">
      <c r="A158" s="47" t="s">
        <v>17</v>
      </c>
      <c r="B158" s="48" t="s">
        <v>18</v>
      </c>
      <c r="C158" s="47">
        <v>222519</v>
      </c>
      <c r="D158" s="47" t="s">
        <v>146</v>
      </c>
      <c r="E158" s="47" t="s">
        <v>20</v>
      </c>
      <c r="F158" s="49" t="s">
        <v>147</v>
      </c>
      <c r="G158" s="47" t="s">
        <v>438</v>
      </c>
      <c r="H158" s="47" t="s">
        <v>125</v>
      </c>
      <c r="I158" s="47" t="s">
        <v>135</v>
      </c>
      <c r="J158" s="47" t="s">
        <v>25</v>
      </c>
      <c r="K158" s="51">
        <v>2434647.06</v>
      </c>
      <c r="L158" s="47" t="s">
        <v>26</v>
      </c>
      <c r="M158" s="52">
        <f t="shared" si="3"/>
        <v>2434647.06</v>
      </c>
      <c r="N158" s="53">
        <v>0.15</v>
      </c>
      <c r="O158" s="47" t="s">
        <v>414</v>
      </c>
      <c r="P158" s="47" t="s">
        <v>180</v>
      </c>
      <c r="Q158" s="47" t="s">
        <v>29</v>
      </c>
    </row>
    <row r="159" hidden="1" spans="1:17">
      <c r="A159" s="47" t="s">
        <v>17</v>
      </c>
      <c r="B159" s="48" t="s">
        <v>68</v>
      </c>
      <c r="C159" s="47">
        <v>222656</v>
      </c>
      <c r="D159" s="47" t="s">
        <v>204</v>
      </c>
      <c r="E159" s="47" t="s">
        <v>70</v>
      </c>
      <c r="F159" s="49" t="s">
        <v>439</v>
      </c>
      <c r="G159" s="47" t="s">
        <v>440</v>
      </c>
      <c r="H159" s="47" t="s">
        <v>134</v>
      </c>
      <c r="I159" s="47" t="s">
        <v>135</v>
      </c>
      <c r="J159" s="47" t="s">
        <v>45</v>
      </c>
      <c r="K159" s="51">
        <v>6000000</v>
      </c>
      <c r="L159" s="47" t="s">
        <v>26</v>
      </c>
      <c r="M159" s="52">
        <f t="shared" si="3"/>
        <v>6000000</v>
      </c>
      <c r="N159" s="53">
        <v>0.25</v>
      </c>
      <c r="O159" s="47" t="s">
        <v>414</v>
      </c>
      <c r="P159" s="47" t="s">
        <v>208</v>
      </c>
      <c r="Q159" s="47" t="s">
        <v>33</v>
      </c>
    </row>
    <row r="160" hidden="1" spans="1:17">
      <c r="A160" s="47" t="s">
        <v>17</v>
      </c>
      <c r="B160" s="48" t="s">
        <v>103</v>
      </c>
      <c r="C160" s="47">
        <v>223501</v>
      </c>
      <c r="D160" s="47" t="s">
        <v>301</v>
      </c>
      <c r="E160" s="47" t="s">
        <v>129</v>
      </c>
      <c r="F160" s="49" t="s">
        <v>319</v>
      </c>
      <c r="G160" s="47" t="s">
        <v>441</v>
      </c>
      <c r="H160" s="47" t="s">
        <v>134</v>
      </c>
      <c r="I160" s="47" t="s">
        <v>135</v>
      </c>
      <c r="J160" s="47" t="s">
        <v>25</v>
      </c>
      <c r="K160" s="51">
        <v>2500000</v>
      </c>
      <c r="L160" s="47" t="s">
        <v>26</v>
      </c>
      <c r="M160" s="52">
        <f t="shared" si="3"/>
        <v>2500000</v>
      </c>
      <c r="N160" s="53">
        <v>0.2</v>
      </c>
      <c r="O160" s="47" t="s">
        <v>414</v>
      </c>
      <c r="P160" s="47" t="s">
        <v>193</v>
      </c>
      <c r="Q160" s="47" t="s">
        <v>29</v>
      </c>
    </row>
    <row r="161" hidden="1" spans="1:17">
      <c r="A161" s="47" t="s">
        <v>17</v>
      </c>
      <c r="B161" s="48" t="s">
        <v>68</v>
      </c>
      <c r="C161" s="47">
        <v>220698</v>
      </c>
      <c r="D161" s="47" t="s">
        <v>204</v>
      </c>
      <c r="E161" s="47" t="s">
        <v>70</v>
      </c>
      <c r="F161" s="49" t="s">
        <v>425</v>
      </c>
      <c r="G161" s="47" t="s">
        <v>442</v>
      </c>
      <c r="H161" s="47" t="s">
        <v>163</v>
      </c>
      <c r="I161" s="47" t="s">
        <v>135</v>
      </c>
      <c r="J161" s="47" t="s">
        <v>45</v>
      </c>
      <c r="K161" s="51">
        <v>65000000.0037791</v>
      </c>
      <c r="L161" s="47" t="s">
        <v>26</v>
      </c>
      <c r="M161" s="52">
        <f t="shared" si="3"/>
        <v>65000000.0037791</v>
      </c>
      <c r="N161" s="53">
        <v>0.33846</v>
      </c>
      <c r="O161" s="47" t="s">
        <v>443</v>
      </c>
      <c r="P161" s="47" t="s">
        <v>240</v>
      </c>
      <c r="Q161" s="47" t="s">
        <v>259</v>
      </c>
    </row>
    <row r="162" hidden="1" spans="1:17">
      <c r="A162" s="47" t="s">
        <v>17</v>
      </c>
      <c r="B162" s="48" t="s">
        <v>18</v>
      </c>
      <c r="C162" s="47">
        <v>220394</v>
      </c>
      <c r="D162" s="47" t="s">
        <v>19</v>
      </c>
      <c r="E162" s="47" t="s">
        <v>20</v>
      </c>
      <c r="F162" s="49" t="s">
        <v>156</v>
      </c>
      <c r="G162" s="47" t="s">
        <v>444</v>
      </c>
      <c r="H162" s="47" t="s">
        <v>163</v>
      </c>
      <c r="I162" s="47" t="s">
        <v>135</v>
      </c>
      <c r="J162" s="47" t="s">
        <v>25</v>
      </c>
      <c r="K162" s="51">
        <v>26499999.9996454</v>
      </c>
      <c r="L162" s="47" t="s">
        <v>26</v>
      </c>
      <c r="M162" s="52">
        <f t="shared" si="3"/>
        <v>26499999.9996454</v>
      </c>
      <c r="N162" s="53">
        <v>0.32075</v>
      </c>
      <c r="O162" s="47" t="s">
        <v>445</v>
      </c>
      <c r="P162" s="47" t="s">
        <v>32</v>
      </c>
      <c r="Q162" s="47" t="s">
        <v>100</v>
      </c>
    </row>
    <row r="163" hidden="1" spans="1:17">
      <c r="A163" s="48" t="s">
        <v>17</v>
      </c>
      <c r="B163" s="48" t="s">
        <v>40</v>
      </c>
      <c r="C163" s="47">
        <v>209971</v>
      </c>
      <c r="D163" s="47" t="s">
        <v>41</v>
      </c>
      <c r="E163" s="47" t="s">
        <v>42</v>
      </c>
      <c r="F163" s="49" t="s">
        <v>237</v>
      </c>
      <c r="G163" s="47" t="s">
        <v>446</v>
      </c>
      <c r="H163" s="47" t="s">
        <v>149</v>
      </c>
      <c r="I163" s="47" t="s">
        <v>126</v>
      </c>
      <c r="J163" s="47" t="s">
        <v>45</v>
      </c>
      <c r="K163" s="51">
        <v>6500000</v>
      </c>
      <c r="L163" s="47" t="s">
        <v>26</v>
      </c>
      <c r="M163" s="52">
        <f t="shared" si="3"/>
        <v>6500000</v>
      </c>
      <c r="N163" s="53">
        <v>0</v>
      </c>
      <c r="O163" s="47" t="s">
        <v>447</v>
      </c>
      <c r="P163" s="47" t="s">
        <v>448</v>
      </c>
      <c r="Q163" s="47" t="s">
        <v>29</v>
      </c>
    </row>
    <row r="164" hidden="1" spans="1:17">
      <c r="A164" s="48" t="s">
        <v>17</v>
      </c>
      <c r="B164" s="47" t="s">
        <v>241</v>
      </c>
      <c r="C164" s="47">
        <v>211573</v>
      </c>
      <c r="D164" s="47" t="s">
        <v>104</v>
      </c>
      <c r="E164" s="47" t="s">
        <v>105</v>
      </c>
      <c r="F164" s="49" t="s">
        <v>137</v>
      </c>
      <c r="G164" s="47" t="s">
        <v>449</v>
      </c>
      <c r="H164" s="47" t="s">
        <v>163</v>
      </c>
      <c r="I164" s="47" t="s">
        <v>135</v>
      </c>
      <c r="J164" s="47" t="s">
        <v>25</v>
      </c>
      <c r="K164" s="51">
        <v>1500000</v>
      </c>
      <c r="L164" s="47" t="s">
        <v>26</v>
      </c>
      <c r="M164" s="52">
        <f t="shared" si="3"/>
        <v>1500000</v>
      </c>
      <c r="N164" s="53">
        <v>0.18</v>
      </c>
      <c r="O164" s="47" t="s">
        <v>447</v>
      </c>
      <c r="P164" s="47" t="s">
        <v>450</v>
      </c>
      <c r="Q164" s="47" t="s">
        <v>209</v>
      </c>
    </row>
    <row r="165" hidden="1" spans="1:17">
      <c r="A165" s="47" t="s">
        <v>17</v>
      </c>
      <c r="B165" s="48" t="s">
        <v>40</v>
      </c>
      <c r="C165" s="47">
        <v>216367</v>
      </c>
      <c r="D165" s="47" t="s">
        <v>122</v>
      </c>
      <c r="E165" s="47" t="s">
        <v>42</v>
      </c>
      <c r="F165" s="49" t="s">
        <v>228</v>
      </c>
      <c r="G165" s="47" t="s">
        <v>451</v>
      </c>
      <c r="H165" s="47" t="s">
        <v>163</v>
      </c>
      <c r="I165" s="47" t="s">
        <v>135</v>
      </c>
      <c r="J165" s="47" t="s">
        <v>45</v>
      </c>
      <c r="K165" s="51">
        <v>52941176.47</v>
      </c>
      <c r="L165" s="47" t="s">
        <v>26</v>
      </c>
      <c r="M165" s="52">
        <f t="shared" si="3"/>
        <v>52941176.47</v>
      </c>
      <c r="N165" s="53">
        <v>0.15</v>
      </c>
      <c r="O165" s="47" t="s">
        <v>447</v>
      </c>
      <c r="P165" s="47" t="s">
        <v>127</v>
      </c>
      <c r="Q165" s="47" t="s">
        <v>33</v>
      </c>
    </row>
    <row r="166" hidden="1" spans="1:17">
      <c r="A166" s="47" t="s">
        <v>17</v>
      </c>
      <c r="B166" s="48" t="s">
        <v>40</v>
      </c>
      <c r="C166" s="47">
        <v>216388</v>
      </c>
      <c r="D166" s="47" t="s">
        <v>122</v>
      </c>
      <c r="E166" s="47" t="s">
        <v>42</v>
      </c>
      <c r="F166" s="49" t="s">
        <v>452</v>
      </c>
      <c r="G166" s="47" t="s">
        <v>453</v>
      </c>
      <c r="H166" s="47" t="s">
        <v>163</v>
      </c>
      <c r="I166" s="47" t="s">
        <v>135</v>
      </c>
      <c r="J166" s="47" t="s">
        <v>45</v>
      </c>
      <c r="K166" s="51">
        <v>30000000</v>
      </c>
      <c r="L166" s="47" t="s">
        <v>26</v>
      </c>
      <c r="M166" s="52">
        <f t="shared" si="3"/>
        <v>30000000</v>
      </c>
      <c r="N166" s="53">
        <v>0.15</v>
      </c>
      <c r="O166" s="47" t="s">
        <v>447</v>
      </c>
      <c r="P166" s="47" t="s">
        <v>127</v>
      </c>
      <c r="Q166" s="47" t="s">
        <v>29</v>
      </c>
    </row>
    <row r="167" hidden="1" spans="1:17">
      <c r="A167" s="47" t="s">
        <v>17</v>
      </c>
      <c r="B167" s="48" t="s">
        <v>103</v>
      </c>
      <c r="C167" s="47">
        <v>216410</v>
      </c>
      <c r="D167" s="47" t="s">
        <v>104</v>
      </c>
      <c r="E167" s="47" t="s">
        <v>105</v>
      </c>
      <c r="F167" s="49" t="s">
        <v>454</v>
      </c>
      <c r="G167" s="47" t="s">
        <v>455</v>
      </c>
      <c r="H167" s="47" t="s">
        <v>134</v>
      </c>
      <c r="I167" s="47" t="s">
        <v>135</v>
      </c>
      <c r="J167" s="47" t="s">
        <v>25</v>
      </c>
      <c r="K167" s="51">
        <v>4500000</v>
      </c>
      <c r="L167" s="47" t="s">
        <v>26</v>
      </c>
      <c r="M167" s="52">
        <f t="shared" si="3"/>
        <v>4500000</v>
      </c>
      <c r="N167" s="53">
        <v>0.14444</v>
      </c>
      <c r="O167" s="47" t="s">
        <v>447</v>
      </c>
      <c r="P167" s="47" t="s">
        <v>223</v>
      </c>
      <c r="Q167" s="47" t="s">
        <v>33</v>
      </c>
    </row>
    <row r="168" hidden="1" spans="1:17">
      <c r="A168" s="47" t="s">
        <v>17</v>
      </c>
      <c r="B168" s="48" t="s">
        <v>40</v>
      </c>
      <c r="C168" s="47">
        <v>216424</v>
      </c>
      <c r="D168" s="47" t="s">
        <v>41</v>
      </c>
      <c r="E168" s="47" t="s">
        <v>42</v>
      </c>
      <c r="F168" s="49" t="s">
        <v>113</v>
      </c>
      <c r="G168" s="47" t="s">
        <v>456</v>
      </c>
      <c r="H168" s="47" t="s">
        <v>134</v>
      </c>
      <c r="I168" s="47" t="s">
        <v>135</v>
      </c>
      <c r="J168" s="47" t="s">
        <v>45</v>
      </c>
      <c r="K168" s="51">
        <v>4000000</v>
      </c>
      <c r="L168" s="47" t="s">
        <v>26</v>
      </c>
      <c r="M168" s="52">
        <f t="shared" si="3"/>
        <v>4000000</v>
      </c>
      <c r="N168" s="53">
        <v>0.15</v>
      </c>
      <c r="O168" s="47" t="s">
        <v>447</v>
      </c>
      <c r="P168" s="47" t="s">
        <v>270</v>
      </c>
      <c r="Q168" s="47" t="s">
        <v>29</v>
      </c>
    </row>
    <row r="169" hidden="1" spans="1:17">
      <c r="A169" s="47" t="s">
        <v>17</v>
      </c>
      <c r="B169" s="48" t="s">
        <v>40</v>
      </c>
      <c r="C169" s="47">
        <v>220432</v>
      </c>
      <c r="D169" s="47" t="s">
        <v>41</v>
      </c>
      <c r="E169" s="47" t="s">
        <v>42</v>
      </c>
      <c r="F169" s="49" t="s">
        <v>418</v>
      </c>
      <c r="G169" s="47" t="s">
        <v>457</v>
      </c>
      <c r="H169" s="47" t="s">
        <v>134</v>
      </c>
      <c r="I169" s="47" t="s">
        <v>135</v>
      </c>
      <c r="J169" s="47" t="s">
        <v>45</v>
      </c>
      <c r="K169" s="51">
        <v>6000000</v>
      </c>
      <c r="L169" s="47" t="s">
        <v>26</v>
      </c>
      <c r="M169" s="52">
        <f t="shared" si="3"/>
        <v>6000000</v>
      </c>
      <c r="N169" s="54"/>
      <c r="O169" s="47" t="s">
        <v>447</v>
      </c>
      <c r="P169" s="47" t="s">
        <v>170</v>
      </c>
      <c r="Q169" s="47" t="s">
        <v>65</v>
      </c>
    </row>
    <row r="170" hidden="1" spans="1:17">
      <c r="A170" s="47" t="s">
        <v>17</v>
      </c>
      <c r="B170" s="48" t="s">
        <v>34</v>
      </c>
      <c r="C170" s="47">
        <v>220521</v>
      </c>
      <c r="D170" s="47" t="s">
        <v>278</v>
      </c>
      <c r="E170" s="47" t="s">
        <v>36</v>
      </c>
      <c r="F170" s="49" t="s">
        <v>399</v>
      </c>
      <c r="G170" s="47" t="s">
        <v>458</v>
      </c>
      <c r="H170" s="47" t="s">
        <v>163</v>
      </c>
      <c r="I170" s="47" t="s">
        <v>135</v>
      </c>
      <c r="J170" s="47" t="s">
        <v>25</v>
      </c>
      <c r="K170" s="51">
        <v>14444444.44</v>
      </c>
      <c r="L170" s="47" t="s">
        <v>26</v>
      </c>
      <c r="M170" s="52">
        <f t="shared" si="3"/>
        <v>14444444.44</v>
      </c>
      <c r="N170" s="53">
        <v>0.1</v>
      </c>
      <c r="O170" s="47" t="s">
        <v>447</v>
      </c>
      <c r="P170" s="47" t="s">
        <v>170</v>
      </c>
      <c r="Q170" s="47" t="s">
        <v>29</v>
      </c>
    </row>
    <row r="171" hidden="1" spans="1:17">
      <c r="A171" s="47" t="s">
        <v>17</v>
      </c>
      <c r="B171" s="48" t="s">
        <v>18</v>
      </c>
      <c r="C171" s="47">
        <v>220702</v>
      </c>
      <c r="D171" s="47" t="s">
        <v>146</v>
      </c>
      <c r="E171" s="47" t="s">
        <v>20</v>
      </c>
      <c r="F171" s="49" t="s">
        <v>459</v>
      </c>
      <c r="G171" s="47" t="s">
        <v>460</v>
      </c>
      <c r="H171" s="47" t="s">
        <v>125</v>
      </c>
      <c r="I171" s="47" t="s">
        <v>135</v>
      </c>
      <c r="J171" s="47" t="s">
        <v>73</v>
      </c>
      <c r="K171" s="51">
        <v>12000000</v>
      </c>
      <c r="L171" s="47" t="s">
        <v>26</v>
      </c>
      <c r="M171" s="52">
        <f t="shared" si="3"/>
        <v>12000000</v>
      </c>
      <c r="N171" s="54"/>
      <c r="O171" s="47" t="s">
        <v>447</v>
      </c>
      <c r="P171" s="47" t="s">
        <v>219</v>
      </c>
      <c r="Q171" s="47" t="s">
        <v>29</v>
      </c>
    </row>
    <row r="172" hidden="1" spans="1:17">
      <c r="A172" s="47" t="s">
        <v>17</v>
      </c>
      <c r="B172" s="48" t="s">
        <v>40</v>
      </c>
      <c r="C172" s="47">
        <v>220752</v>
      </c>
      <c r="D172" s="47" t="s">
        <v>122</v>
      </c>
      <c r="E172" s="47" t="s">
        <v>42</v>
      </c>
      <c r="F172" s="49" t="s">
        <v>234</v>
      </c>
      <c r="G172" s="47" t="s">
        <v>461</v>
      </c>
      <c r="H172" s="47" t="s">
        <v>163</v>
      </c>
      <c r="I172" s="47" t="s">
        <v>135</v>
      </c>
      <c r="J172" s="47" t="s">
        <v>45</v>
      </c>
      <c r="K172" s="51">
        <v>10000000</v>
      </c>
      <c r="L172" s="47" t="s">
        <v>26</v>
      </c>
      <c r="M172" s="52">
        <f t="shared" si="3"/>
        <v>10000000</v>
      </c>
      <c r="N172" s="53">
        <v>0.145</v>
      </c>
      <c r="O172" s="47" t="s">
        <v>447</v>
      </c>
      <c r="P172" s="47" t="s">
        <v>219</v>
      </c>
      <c r="Q172" s="47" t="s">
        <v>33</v>
      </c>
    </row>
    <row r="173" hidden="1" spans="1:17">
      <c r="A173" s="47" t="s">
        <v>17</v>
      </c>
      <c r="B173" s="48" t="s">
        <v>18</v>
      </c>
      <c r="C173" s="47">
        <v>220814</v>
      </c>
      <c r="D173" s="47" t="s">
        <v>19</v>
      </c>
      <c r="E173" s="47" t="s">
        <v>20</v>
      </c>
      <c r="F173" s="49" t="s">
        <v>156</v>
      </c>
      <c r="G173" s="47" t="s">
        <v>462</v>
      </c>
      <c r="H173" s="47" t="s">
        <v>163</v>
      </c>
      <c r="I173" s="47" t="s">
        <v>135</v>
      </c>
      <c r="J173" s="47" t="s">
        <v>25</v>
      </c>
      <c r="K173" s="51">
        <v>200000000</v>
      </c>
      <c r="L173" s="47" t="s">
        <v>26</v>
      </c>
      <c r="M173" s="52">
        <f t="shared" si="3"/>
        <v>200000000</v>
      </c>
      <c r="N173" s="53">
        <v>0.1</v>
      </c>
      <c r="O173" s="47" t="s">
        <v>447</v>
      </c>
      <c r="P173" s="47" t="s">
        <v>77</v>
      </c>
      <c r="Q173" s="47" t="s">
        <v>259</v>
      </c>
    </row>
    <row r="174" hidden="1" spans="1:17">
      <c r="A174" s="47" t="s">
        <v>17</v>
      </c>
      <c r="B174" s="48" t="s">
        <v>40</v>
      </c>
      <c r="C174" s="47">
        <v>220902</v>
      </c>
      <c r="D174" s="47" t="s">
        <v>41</v>
      </c>
      <c r="E174" s="47" t="s">
        <v>42</v>
      </c>
      <c r="F174" s="49" t="s">
        <v>463</v>
      </c>
      <c r="G174" s="47" t="s">
        <v>464</v>
      </c>
      <c r="H174" s="47" t="s">
        <v>134</v>
      </c>
      <c r="I174" s="47" t="s">
        <v>135</v>
      </c>
      <c r="J174" s="47" t="s">
        <v>45</v>
      </c>
      <c r="K174" s="51">
        <v>950000</v>
      </c>
      <c r="L174" s="47" t="s">
        <v>26</v>
      </c>
      <c r="M174" s="52">
        <f t="shared" si="3"/>
        <v>950000</v>
      </c>
      <c r="N174" s="53">
        <v>0</v>
      </c>
      <c r="O174" s="47" t="s">
        <v>447</v>
      </c>
      <c r="P174" s="47" t="s">
        <v>292</v>
      </c>
      <c r="Q174" s="47" t="s">
        <v>29</v>
      </c>
    </row>
    <row r="175" hidden="1" spans="1:17">
      <c r="A175" s="47" t="s">
        <v>17</v>
      </c>
      <c r="B175" s="48" t="s">
        <v>40</v>
      </c>
      <c r="C175" s="47">
        <v>220901</v>
      </c>
      <c r="D175" s="47" t="s">
        <v>41</v>
      </c>
      <c r="E175" s="47" t="s">
        <v>42</v>
      </c>
      <c r="F175" s="49" t="s">
        <v>465</v>
      </c>
      <c r="G175" s="47" t="s">
        <v>265</v>
      </c>
      <c r="H175" s="47" t="s">
        <v>134</v>
      </c>
      <c r="I175" s="47" t="s">
        <v>135</v>
      </c>
      <c r="J175" s="47" t="s">
        <v>45</v>
      </c>
      <c r="K175" s="51">
        <v>12500000</v>
      </c>
      <c r="L175" s="47" t="s">
        <v>26</v>
      </c>
      <c r="M175" s="52">
        <f t="shared" si="3"/>
        <v>12500000</v>
      </c>
      <c r="N175" s="53">
        <v>0</v>
      </c>
      <c r="O175" s="47" t="s">
        <v>447</v>
      </c>
      <c r="P175" s="47" t="s">
        <v>292</v>
      </c>
      <c r="Q175" s="47" t="s">
        <v>29</v>
      </c>
    </row>
    <row r="176" hidden="1" spans="1:17">
      <c r="A176" s="47" t="s">
        <v>17</v>
      </c>
      <c r="B176" s="48" t="s">
        <v>103</v>
      </c>
      <c r="C176" s="47">
        <v>221840</v>
      </c>
      <c r="D176" s="47" t="s">
        <v>435</v>
      </c>
      <c r="E176" s="47" t="s">
        <v>105</v>
      </c>
      <c r="F176" s="49" t="s">
        <v>466</v>
      </c>
      <c r="G176" s="47" t="s">
        <v>467</v>
      </c>
      <c r="H176" s="47" t="s">
        <v>125</v>
      </c>
      <c r="I176" s="47" t="s">
        <v>135</v>
      </c>
      <c r="J176" s="47" t="s">
        <v>25</v>
      </c>
      <c r="K176" s="51">
        <v>14767186.5</v>
      </c>
      <c r="L176" s="47" t="s">
        <v>26</v>
      </c>
      <c r="M176" s="52">
        <f t="shared" si="3"/>
        <v>14767186.5</v>
      </c>
      <c r="N176" s="53">
        <v>0.1</v>
      </c>
      <c r="O176" s="47" t="s">
        <v>447</v>
      </c>
      <c r="P176" s="47" t="s">
        <v>367</v>
      </c>
      <c r="Q176" s="47" t="s">
        <v>29</v>
      </c>
    </row>
    <row r="177" hidden="1" spans="1:17">
      <c r="A177" s="47" t="s">
        <v>17</v>
      </c>
      <c r="B177" s="48" t="s">
        <v>103</v>
      </c>
      <c r="C177" s="47">
        <v>221844</v>
      </c>
      <c r="D177" s="47" t="s">
        <v>435</v>
      </c>
      <c r="E177" s="47" t="s">
        <v>105</v>
      </c>
      <c r="F177" s="49" t="s">
        <v>468</v>
      </c>
      <c r="G177" s="47" t="s">
        <v>469</v>
      </c>
      <c r="H177" s="47" t="s">
        <v>125</v>
      </c>
      <c r="I177" s="47" t="s">
        <v>135</v>
      </c>
      <c r="J177" s="47" t="s">
        <v>25</v>
      </c>
      <c r="K177" s="51">
        <v>999999.9</v>
      </c>
      <c r="L177" s="47" t="s">
        <v>26</v>
      </c>
      <c r="M177" s="52">
        <f t="shared" si="3"/>
        <v>999999.9</v>
      </c>
      <c r="N177" s="53">
        <v>0.1</v>
      </c>
      <c r="O177" s="47" t="s">
        <v>447</v>
      </c>
      <c r="P177" s="47" t="s">
        <v>367</v>
      </c>
      <c r="Q177" s="47" t="s">
        <v>33</v>
      </c>
    </row>
    <row r="178" hidden="1" spans="1:17">
      <c r="A178" s="47" t="s">
        <v>17</v>
      </c>
      <c r="B178" s="48" t="s">
        <v>103</v>
      </c>
      <c r="C178" s="47">
        <v>221847</v>
      </c>
      <c r="D178" s="47" t="s">
        <v>435</v>
      </c>
      <c r="E178" s="47" t="s">
        <v>105</v>
      </c>
      <c r="F178" s="49" t="s">
        <v>436</v>
      </c>
      <c r="G178" s="47" t="s">
        <v>470</v>
      </c>
      <c r="H178" s="47" t="s">
        <v>134</v>
      </c>
      <c r="I178" s="47" t="s">
        <v>135</v>
      </c>
      <c r="J178" s="47" t="s">
        <v>25</v>
      </c>
      <c r="K178" s="51">
        <v>8024666.4</v>
      </c>
      <c r="L178" s="47" t="s">
        <v>26</v>
      </c>
      <c r="M178" s="52">
        <f t="shared" si="3"/>
        <v>8024666.4</v>
      </c>
      <c r="N178" s="53">
        <v>0.1</v>
      </c>
      <c r="O178" s="47" t="s">
        <v>447</v>
      </c>
      <c r="P178" s="47" t="s">
        <v>367</v>
      </c>
      <c r="Q178" s="47" t="s">
        <v>29</v>
      </c>
    </row>
    <row r="179" hidden="1" spans="1:17">
      <c r="A179" s="47" t="s">
        <v>17</v>
      </c>
      <c r="B179" s="48" t="s">
        <v>103</v>
      </c>
      <c r="C179" s="47">
        <v>221868</v>
      </c>
      <c r="D179" s="47" t="s">
        <v>435</v>
      </c>
      <c r="E179" s="47" t="s">
        <v>105</v>
      </c>
      <c r="F179" s="49" t="s">
        <v>471</v>
      </c>
      <c r="G179" s="47" t="s">
        <v>472</v>
      </c>
      <c r="H179" s="47" t="s">
        <v>163</v>
      </c>
      <c r="I179" s="47" t="s">
        <v>135</v>
      </c>
      <c r="J179" s="47" t="s">
        <v>25</v>
      </c>
      <c r="K179" s="51">
        <v>8024666.4</v>
      </c>
      <c r="L179" s="47" t="s">
        <v>26</v>
      </c>
      <c r="M179" s="52">
        <f t="shared" si="3"/>
        <v>8024666.4</v>
      </c>
      <c r="N179" s="53">
        <v>0.1</v>
      </c>
      <c r="O179" s="47" t="s">
        <v>447</v>
      </c>
      <c r="P179" s="47" t="s">
        <v>367</v>
      </c>
      <c r="Q179" s="47" t="s">
        <v>29</v>
      </c>
    </row>
    <row r="180" hidden="1" spans="1:17">
      <c r="A180" s="47" t="s">
        <v>17</v>
      </c>
      <c r="B180" s="48" t="s">
        <v>40</v>
      </c>
      <c r="C180" s="47">
        <v>222113</v>
      </c>
      <c r="D180" s="47" t="s">
        <v>210</v>
      </c>
      <c r="E180" s="47" t="s">
        <v>42</v>
      </c>
      <c r="F180" s="49" t="s">
        <v>473</v>
      </c>
      <c r="G180" s="47" t="s">
        <v>474</v>
      </c>
      <c r="H180" s="47" t="s">
        <v>163</v>
      </c>
      <c r="I180" s="47" t="s">
        <v>126</v>
      </c>
      <c r="J180" s="47" t="s">
        <v>25</v>
      </c>
      <c r="K180" s="51">
        <v>20000000</v>
      </c>
      <c r="L180" s="47" t="s">
        <v>26</v>
      </c>
      <c r="M180" s="52">
        <f t="shared" si="3"/>
        <v>20000000</v>
      </c>
      <c r="N180" s="53">
        <v>0.25</v>
      </c>
      <c r="O180" s="47" t="s">
        <v>447</v>
      </c>
      <c r="P180" s="47" t="s">
        <v>236</v>
      </c>
      <c r="Q180" s="47" t="s">
        <v>29</v>
      </c>
    </row>
    <row r="181" hidden="1" spans="1:17">
      <c r="A181" s="47" t="s">
        <v>17</v>
      </c>
      <c r="B181" s="48" t="s">
        <v>34</v>
      </c>
      <c r="C181" s="47">
        <v>221017</v>
      </c>
      <c r="D181" s="47" t="s">
        <v>278</v>
      </c>
      <c r="E181" s="47" t="s">
        <v>36</v>
      </c>
      <c r="F181" s="49" t="s">
        <v>399</v>
      </c>
      <c r="G181" s="47" t="s">
        <v>475</v>
      </c>
      <c r="H181" s="47" t="s">
        <v>125</v>
      </c>
      <c r="I181" s="47" t="s">
        <v>126</v>
      </c>
      <c r="J181" s="47" t="s">
        <v>25</v>
      </c>
      <c r="K181" s="51">
        <v>8000000</v>
      </c>
      <c r="L181" s="47" t="s">
        <v>26</v>
      </c>
      <c r="M181" s="52">
        <f t="shared" si="3"/>
        <v>8000000</v>
      </c>
      <c r="N181" s="53">
        <v>0.125</v>
      </c>
      <c r="O181" s="47" t="s">
        <v>476</v>
      </c>
      <c r="P181" s="47" t="s">
        <v>434</v>
      </c>
      <c r="Q181" s="47" t="s">
        <v>29</v>
      </c>
    </row>
    <row r="182" hidden="1" spans="1:17">
      <c r="A182" s="47" t="s">
        <v>17</v>
      </c>
      <c r="B182" s="48" t="s">
        <v>103</v>
      </c>
      <c r="C182" s="47">
        <v>221839</v>
      </c>
      <c r="D182" s="47" t="s">
        <v>435</v>
      </c>
      <c r="E182" s="47" t="s">
        <v>105</v>
      </c>
      <c r="F182" s="49" t="s">
        <v>477</v>
      </c>
      <c r="G182" s="47" t="s">
        <v>478</v>
      </c>
      <c r="H182" s="47" t="s">
        <v>125</v>
      </c>
      <c r="I182" s="47" t="s">
        <v>135</v>
      </c>
      <c r="J182" s="47" t="s">
        <v>25</v>
      </c>
      <c r="K182" s="51">
        <v>5722120</v>
      </c>
      <c r="L182" s="47" t="s">
        <v>26</v>
      </c>
      <c r="M182" s="52">
        <f t="shared" si="3"/>
        <v>5722120</v>
      </c>
      <c r="N182" s="53">
        <v>0.1</v>
      </c>
      <c r="O182" s="47" t="s">
        <v>476</v>
      </c>
      <c r="P182" s="47" t="s">
        <v>367</v>
      </c>
      <c r="Q182" s="47" t="s">
        <v>33</v>
      </c>
    </row>
    <row r="183" hidden="1" spans="1:17">
      <c r="A183" s="47" t="s">
        <v>17</v>
      </c>
      <c r="B183" s="48" t="s">
        <v>40</v>
      </c>
      <c r="C183" s="47">
        <v>222469</v>
      </c>
      <c r="D183" s="47" t="s">
        <v>41</v>
      </c>
      <c r="E183" s="47" t="s">
        <v>42</v>
      </c>
      <c r="F183" s="49" t="s">
        <v>267</v>
      </c>
      <c r="G183" s="47" t="s">
        <v>479</v>
      </c>
      <c r="H183" s="47" t="s">
        <v>134</v>
      </c>
      <c r="I183" s="47" t="s">
        <v>135</v>
      </c>
      <c r="J183" s="47" t="s">
        <v>45</v>
      </c>
      <c r="K183" s="51">
        <v>17647058.82</v>
      </c>
      <c r="L183" s="47" t="s">
        <v>26</v>
      </c>
      <c r="M183" s="52">
        <f t="shared" si="3"/>
        <v>17647058.82</v>
      </c>
      <c r="N183" s="53">
        <v>0.15</v>
      </c>
      <c r="O183" s="47" t="s">
        <v>476</v>
      </c>
      <c r="P183" s="47" t="s">
        <v>480</v>
      </c>
      <c r="Q183" s="47" t="s">
        <v>33</v>
      </c>
    </row>
    <row r="184" hidden="1" spans="1:17">
      <c r="A184" s="47" t="s">
        <v>17</v>
      </c>
      <c r="B184" s="48" t="s">
        <v>103</v>
      </c>
      <c r="C184" s="47">
        <v>223240</v>
      </c>
      <c r="D184" s="47" t="s">
        <v>435</v>
      </c>
      <c r="E184" s="47" t="s">
        <v>105</v>
      </c>
      <c r="F184" s="49" t="s">
        <v>481</v>
      </c>
      <c r="G184" s="47" t="s">
        <v>482</v>
      </c>
      <c r="H184" s="47" t="s">
        <v>163</v>
      </c>
      <c r="I184" s="47" t="s">
        <v>135</v>
      </c>
      <c r="J184" s="47" t="s">
        <v>25</v>
      </c>
      <c r="K184" s="51">
        <v>400000</v>
      </c>
      <c r="L184" s="47" t="s">
        <v>26</v>
      </c>
      <c r="M184" s="52">
        <f t="shared" si="3"/>
        <v>400000</v>
      </c>
      <c r="N184" s="53">
        <v>0.25</v>
      </c>
      <c r="O184" s="47" t="s">
        <v>476</v>
      </c>
      <c r="P184" s="47" t="s">
        <v>47</v>
      </c>
      <c r="Q184" s="47" t="s">
        <v>29</v>
      </c>
    </row>
    <row r="185" hidden="1" spans="1:17">
      <c r="A185" s="48" t="s">
        <v>17</v>
      </c>
      <c r="B185" s="47" t="s">
        <v>241</v>
      </c>
      <c r="C185" s="47">
        <v>207773</v>
      </c>
      <c r="D185" s="47" t="s">
        <v>160</v>
      </c>
      <c r="E185" s="47" t="s">
        <v>117</v>
      </c>
      <c r="F185" s="49" t="s">
        <v>483</v>
      </c>
      <c r="G185" s="47" t="s">
        <v>484</v>
      </c>
      <c r="H185" s="47" t="s">
        <v>134</v>
      </c>
      <c r="I185" s="47" t="s">
        <v>135</v>
      </c>
      <c r="J185" s="47" t="s">
        <v>45</v>
      </c>
      <c r="K185" s="51">
        <v>6024096.39</v>
      </c>
      <c r="L185" s="47" t="s">
        <v>26</v>
      </c>
      <c r="M185" s="52">
        <f t="shared" si="3"/>
        <v>6024096.39</v>
      </c>
      <c r="N185" s="53">
        <v>0.17</v>
      </c>
      <c r="O185" s="47" t="s">
        <v>485</v>
      </c>
      <c r="P185" s="47" t="s">
        <v>486</v>
      </c>
      <c r="Q185" s="47" t="s">
        <v>33</v>
      </c>
    </row>
    <row r="186" hidden="1" spans="1:17">
      <c r="A186" s="48" t="s">
        <v>17</v>
      </c>
      <c r="B186" s="47" t="s">
        <v>241</v>
      </c>
      <c r="C186" s="47">
        <v>209585</v>
      </c>
      <c r="D186" s="47" t="s">
        <v>326</v>
      </c>
      <c r="E186" s="47" t="s">
        <v>117</v>
      </c>
      <c r="F186" s="49" t="s">
        <v>487</v>
      </c>
      <c r="G186" s="47" t="s">
        <v>488</v>
      </c>
      <c r="H186" s="47" t="s">
        <v>149</v>
      </c>
      <c r="I186" s="47" t="s">
        <v>126</v>
      </c>
      <c r="J186" s="47" t="s">
        <v>25</v>
      </c>
      <c r="K186" s="51">
        <v>11000000</v>
      </c>
      <c r="L186" s="47" t="s">
        <v>26</v>
      </c>
      <c r="M186" s="52">
        <f t="shared" si="3"/>
        <v>11000000</v>
      </c>
      <c r="N186" s="53">
        <v>0.09091</v>
      </c>
      <c r="O186" s="47" t="s">
        <v>485</v>
      </c>
      <c r="P186" s="47" t="s">
        <v>489</v>
      </c>
      <c r="Q186" s="47" t="s">
        <v>29</v>
      </c>
    </row>
    <row r="187" hidden="1" spans="1:17">
      <c r="A187" s="47" t="s">
        <v>17</v>
      </c>
      <c r="B187" s="48" t="s">
        <v>40</v>
      </c>
      <c r="C187" s="47">
        <v>216422</v>
      </c>
      <c r="D187" s="47" t="s">
        <v>41</v>
      </c>
      <c r="E187" s="47" t="s">
        <v>42</v>
      </c>
      <c r="F187" s="49" t="s">
        <v>490</v>
      </c>
      <c r="G187" s="47" t="s">
        <v>491</v>
      </c>
      <c r="H187" s="47" t="s">
        <v>134</v>
      </c>
      <c r="I187" s="47" t="s">
        <v>135</v>
      </c>
      <c r="J187" s="47" t="s">
        <v>45</v>
      </c>
      <c r="K187" s="51">
        <v>9000000</v>
      </c>
      <c r="L187" s="47" t="s">
        <v>26</v>
      </c>
      <c r="M187" s="52">
        <f t="shared" si="3"/>
        <v>9000000</v>
      </c>
      <c r="N187" s="53">
        <v>0.15</v>
      </c>
      <c r="O187" s="47" t="s">
        <v>485</v>
      </c>
      <c r="P187" s="47" t="s">
        <v>270</v>
      </c>
      <c r="Q187" s="47" t="s">
        <v>29</v>
      </c>
    </row>
    <row r="188" hidden="1" spans="1:17">
      <c r="A188" s="47" t="s">
        <v>17</v>
      </c>
      <c r="B188" s="48" t="s">
        <v>68</v>
      </c>
      <c r="C188" s="47">
        <v>220383</v>
      </c>
      <c r="D188" s="47" t="s">
        <v>281</v>
      </c>
      <c r="E188" s="47" t="s">
        <v>70</v>
      </c>
      <c r="F188" s="49" t="s">
        <v>492</v>
      </c>
      <c r="G188" s="47" t="s">
        <v>493</v>
      </c>
      <c r="H188" s="47" t="s">
        <v>163</v>
      </c>
      <c r="I188" s="47" t="s">
        <v>135</v>
      </c>
      <c r="J188" s="47" t="s">
        <v>25</v>
      </c>
      <c r="K188" s="51">
        <v>15176470.59</v>
      </c>
      <c r="L188" s="47" t="s">
        <v>26</v>
      </c>
      <c r="M188" s="52">
        <f t="shared" si="3"/>
        <v>15176470.59</v>
      </c>
      <c r="N188" s="53">
        <v>0.15</v>
      </c>
      <c r="O188" s="47" t="s">
        <v>485</v>
      </c>
      <c r="P188" s="47" t="s">
        <v>32</v>
      </c>
      <c r="Q188" s="47" t="s">
        <v>100</v>
      </c>
    </row>
    <row r="189" hidden="1" spans="1:17">
      <c r="A189" s="47" t="s">
        <v>17</v>
      </c>
      <c r="B189" s="48" t="s">
        <v>40</v>
      </c>
      <c r="C189" s="47">
        <v>220456</v>
      </c>
      <c r="D189" s="47" t="s">
        <v>41</v>
      </c>
      <c r="E189" s="47" t="s">
        <v>42</v>
      </c>
      <c r="F189" s="49" t="s">
        <v>418</v>
      </c>
      <c r="G189" s="47" t="s">
        <v>494</v>
      </c>
      <c r="H189" s="47" t="s">
        <v>134</v>
      </c>
      <c r="I189" s="47" t="s">
        <v>135</v>
      </c>
      <c r="J189" s="47" t="s">
        <v>45</v>
      </c>
      <c r="K189" s="51">
        <v>2500000</v>
      </c>
      <c r="L189" s="47" t="s">
        <v>26</v>
      </c>
      <c r="M189" s="52">
        <f t="shared" si="3"/>
        <v>2500000</v>
      </c>
      <c r="N189" s="53">
        <v>0.2</v>
      </c>
      <c r="O189" s="47" t="s">
        <v>485</v>
      </c>
      <c r="P189" s="47" t="s">
        <v>170</v>
      </c>
      <c r="Q189" s="47" t="s">
        <v>29</v>
      </c>
    </row>
    <row r="190" hidden="1" spans="1:17">
      <c r="A190" s="47" t="s">
        <v>17</v>
      </c>
      <c r="B190" s="48" t="s">
        <v>40</v>
      </c>
      <c r="C190" s="47">
        <v>220764</v>
      </c>
      <c r="D190" s="47" t="s">
        <v>41</v>
      </c>
      <c r="E190" s="47" t="s">
        <v>42</v>
      </c>
      <c r="F190" s="49" t="s">
        <v>495</v>
      </c>
      <c r="G190" s="47" t="s">
        <v>496</v>
      </c>
      <c r="H190" s="47" t="s">
        <v>134</v>
      </c>
      <c r="I190" s="47" t="s">
        <v>135</v>
      </c>
      <c r="J190" s="47" t="s">
        <v>45</v>
      </c>
      <c r="K190" s="51">
        <v>100000000</v>
      </c>
      <c r="L190" s="47" t="s">
        <v>26</v>
      </c>
      <c r="M190" s="52">
        <f t="shared" si="3"/>
        <v>100000000</v>
      </c>
      <c r="N190" s="53">
        <v>0</v>
      </c>
      <c r="O190" s="47" t="s">
        <v>485</v>
      </c>
      <c r="P190" s="47" t="s">
        <v>219</v>
      </c>
      <c r="Q190" s="47" t="s">
        <v>33</v>
      </c>
    </row>
    <row r="191" hidden="1" spans="1:17">
      <c r="A191" s="47" t="s">
        <v>17</v>
      </c>
      <c r="B191" s="48" t="s">
        <v>103</v>
      </c>
      <c r="C191" s="47">
        <v>221841</v>
      </c>
      <c r="D191" s="47" t="s">
        <v>435</v>
      </c>
      <c r="E191" s="47" t="s">
        <v>105</v>
      </c>
      <c r="F191" s="49" t="s">
        <v>497</v>
      </c>
      <c r="G191" s="47" t="s">
        <v>498</v>
      </c>
      <c r="H191" s="47" t="s">
        <v>149</v>
      </c>
      <c r="I191" s="47" t="s">
        <v>126</v>
      </c>
      <c r="J191" s="47" t="s">
        <v>25</v>
      </c>
      <c r="K191" s="51">
        <v>1392751.73</v>
      </c>
      <c r="L191" s="47" t="s">
        <v>26</v>
      </c>
      <c r="M191" s="52">
        <f t="shared" si="3"/>
        <v>1392751.73</v>
      </c>
      <c r="N191" s="53">
        <v>0.11099</v>
      </c>
      <c r="O191" s="47" t="s">
        <v>485</v>
      </c>
      <c r="P191" s="47" t="s">
        <v>367</v>
      </c>
      <c r="Q191" s="47" t="s">
        <v>33</v>
      </c>
    </row>
    <row r="192" hidden="1" spans="1:17">
      <c r="A192" s="47" t="s">
        <v>17</v>
      </c>
      <c r="B192" s="48" t="s">
        <v>103</v>
      </c>
      <c r="C192" s="47">
        <v>222261</v>
      </c>
      <c r="D192" s="47" t="s">
        <v>435</v>
      </c>
      <c r="E192" s="47" t="s">
        <v>105</v>
      </c>
      <c r="F192" s="49" t="s">
        <v>499</v>
      </c>
      <c r="G192" s="47" t="s">
        <v>500</v>
      </c>
      <c r="H192" s="47" t="s">
        <v>125</v>
      </c>
      <c r="I192" s="47" t="s">
        <v>135</v>
      </c>
      <c r="J192" s="47" t="s">
        <v>25</v>
      </c>
      <c r="K192" s="51">
        <v>187500</v>
      </c>
      <c r="L192" s="47" t="s">
        <v>26</v>
      </c>
      <c r="M192" s="52">
        <f t="shared" si="3"/>
        <v>187500</v>
      </c>
      <c r="N192" s="53">
        <v>0.2</v>
      </c>
      <c r="O192" s="47" t="s">
        <v>485</v>
      </c>
      <c r="P192" s="47" t="s">
        <v>501</v>
      </c>
      <c r="Q192" s="47" t="s">
        <v>29</v>
      </c>
    </row>
    <row r="193" hidden="1" spans="1:17">
      <c r="A193" s="47" t="s">
        <v>17</v>
      </c>
      <c r="B193" s="48" t="s">
        <v>103</v>
      </c>
      <c r="C193" s="47">
        <v>222834</v>
      </c>
      <c r="D193" s="47" t="s">
        <v>435</v>
      </c>
      <c r="E193" s="47" t="s">
        <v>105</v>
      </c>
      <c r="F193" s="49" t="s">
        <v>502</v>
      </c>
      <c r="G193" s="47" t="s">
        <v>503</v>
      </c>
      <c r="H193" s="47" t="s">
        <v>125</v>
      </c>
      <c r="I193" s="47" t="s">
        <v>135</v>
      </c>
      <c r="J193" s="47" t="s">
        <v>25</v>
      </c>
      <c r="K193" s="51">
        <v>3333333.33</v>
      </c>
      <c r="L193" s="47" t="s">
        <v>26</v>
      </c>
      <c r="M193" s="52">
        <f t="shared" si="3"/>
        <v>3333333.33</v>
      </c>
      <c r="N193" s="53">
        <v>0.25</v>
      </c>
      <c r="O193" s="47" t="s">
        <v>485</v>
      </c>
      <c r="P193" s="47" t="s">
        <v>139</v>
      </c>
      <c r="Q193" s="47" t="s">
        <v>29</v>
      </c>
    </row>
    <row r="194" hidden="1" spans="1:17">
      <c r="A194" s="47" t="s">
        <v>17</v>
      </c>
      <c r="B194" s="48" t="s">
        <v>68</v>
      </c>
      <c r="C194" s="47">
        <v>220511</v>
      </c>
      <c r="D194" s="47" t="s">
        <v>204</v>
      </c>
      <c r="E194" s="47" t="s">
        <v>70</v>
      </c>
      <c r="F194" s="49" t="s">
        <v>504</v>
      </c>
      <c r="G194" s="47" t="s">
        <v>505</v>
      </c>
      <c r="H194" s="47" t="s">
        <v>163</v>
      </c>
      <c r="I194" s="47" t="s">
        <v>135</v>
      </c>
      <c r="J194" s="47" t="s">
        <v>45</v>
      </c>
      <c r="K194" s="51">
        <v>6849999.99961473</v>
      </c>
      <c r="L194" s="47" t="s">
        <v>26</v>
      </c>
      <c r="M194" s="52">
        <f t="shared" si="3"/>
        <v>6849999.99961473</v>
      </c>
      <c r="N194" s="53">
        <v>0.23431</v>
      </c>
      <c r="O194" s="47" t="s">
        <v>506</v>
      </c>
      <c r="P194" s="47" t="s">
        <v>170</v>
      </c>
      <c r="Q194" s="47" t="s">
        <v>100</v>
      </c>
    </row>
    <row r="195" hidden="1" spans="1:17">
      <c r="A195" s="47" t="s">
        <v>17</v>
      </c>
      <c r="B195" s="48" t="s">
        <v>18</v>
      </c>
      <c r="C195" s="47">
        <v>213961</v>
      </c>
      <c r="D195" s="47" t="s">
        <v>19</v>
      </c>
      <c r="E195" s="47" t="s">
        <v>20</v>
      </c>
      <c r="F195" s="49" t="s">
        <v>21</v>
      </c>
      <c r="G195" s="47" t="s">
        <v>507</v>
      </c>
      <c r="H195" s="47" t="s">
        <v>149</v>
      </c>
      <c r="I195" s="47" t="s">
        <v>126</v>
      </c>
      <c r="J195" s="47" t="s">
        <v>25</v>
      </c>
      <c r="K195" s="51">
        <v>7000000</v>
      </c>
      <c r="L195" s="47" t="s">
        <v>26</v>
      </c>
      <c r="M195" s="52">
        <f t="shared" si="3"/>
        <v>7000000</v>
      </c>
      <c r="N195" s="53">
        <v>0.14286</v>
      </c>
      <c r="O195" s="47" t="s">
        <v>508</v>
      </c>
      <c r="P195" s="47" t="s">
        <v>28</v>
      </c>
      <c r="Q195" s="47" t="s">
        <v>29</v>
      </c>
    </row>
    <row r="196" hidden="1" spans="1:17">
      <c r="A196" s="47" t="s">
        <v>17</v>
      </c>
      <c r="B196" s="48" t="s">
        <v>18</v>
      </c>
      <c r="C196" s="47">
        <v>220490</v>
      </c>
      <c r="D196" s="47" t="s">
        <v>275</v>
      </c>
      <c r="E196" s="47" t="s">
        <v>20</v>
      </c>
      <c r="F196" s="49" t="s">
        <v>509</v>
      </c>
      <c r="G196" s="47" t="s">
        <v>510</v>
      </c>
      <c r="H196" s="47" t="s">
        <v>134</v>
      </c>
      <c r="I196" s="47" t="s">
        <v>135</v>
      </c>
      <c r="J196" s="47" t="s">
        <v>25</v>
      </c>
      <c r="K196" s="54"/>
      <c r="L196" s="47" t="s">
        <v>26</v>
      </c>
      <c r="M196" s="52">
        <f t="shared" si="3"/>
        <v>0</v>
      </c>
      <c r="N196" s="54"/>
      <c r="O196" s="47" t="s">
        <v>508</v>
      </c>
      <c r="P196" s="47" t="s">
        <v>170</v>
      </c>
      <c r="Q196" s="47" t="s">
        <v>33</v>
      </c>
    </row>
    <row r="197" hidden="1" spans="1:17">
      <c r="A197" s="47" t="s">
        <v>17</v>
      </c>
      <c r="B197" s="48" t="s">
        <v>18</v>
      </c>
      <c r="C197" s="47">
        <v>220487</v>
      </c>
      <c r="D197" s="47" t="s">
        <v>275</v>
      </c>
      <c r="E197" s="47" t="s">
        <v>20</v>
      </c>
      <c r="F197" s="49" t="s">
        <v>511</v>
      </c>
      <c r="G197" s="47" t="s">
        <v>512</v>
      </c>
      <c r="H197" s="47" t="s">
        <v>134</v>
      </c>
      <c r="I197" s="47" t="s">
        <v>135</v>
      </c>
      <c r="J197" s="47" t="s">
        <v>25</v>
      </c>
      <c r="K197" s="54"/>
      <c r="L197" s="47" t="s">
        <v>26</v>
      </c>
      <c r="M197" s="52">
        <f t="shared" si="3"/>
        <v>0</v>
      </c>
      <c r="N197" s="54"/>
      <c r="O197" s="47" t="s">
        <v>508</v>
      </c>
      <c r="P197" s="47" t="s">
        <v>170</v>
      </c>
      <c r="Q197" s="47" t="s">
        <v>33</v>
      </c>
    </row>
    <row r="198" hidden="1" spans="1:17">
      <c r="A198" s="47" t="s">
        <v>17</v>
      </c>
      <c r="B198" s="48" t="s">
        <v>18</v>
      </c>
      <c r="C198" s="47">
        <v>220720</v>
      </c>
      <c r="D198" s="47" t="s">
        <v>146</v>
      </c>
      <c r="E198" s="47" t="s">
        <v>20</v>
      </c>
      <c r="F198" s="49" t="s">
        <v>382</v>
      </c>
      <c r="G198" s="47" t="s">
        <v>513</v>
      </c>
      <c r="H198" s="47" t="s">
        <v>125</v>
      </c>
      <c r="I198" s="47" t="s">
        <v>135</v>
      </c>
      <c r="J198" s="47" t="s">
        <v>25</v>
      </c>
      <c r="K198" s="51">
        <v>6717647.06</v>
      </c>
      <c r="L198" s="47" t="s">
        <v>26</v>
      </c>
      <c r="M198" s="52">
        <f t="shared" si="3"/>
        <v>6717647.06</v>
      </c>
      <c r="N198" s="53">
        <v>0.15</v>
      </c>
      <c r="O198" s="47" t="s">
        <v>508</v>
      </c>
      <c r="P198" s="47" t="s">
        <v>219</v>
      </c>
      <c r="Q198" s="47" t="s">
        <v>29</v>
      </c>
    </row>
    <row r="199" hidden="1" spans="1:17">
      <c r="A199" s="47" t="s">
        <v>17</v>
      </c>
      <c r="B199" s="48" t="s">
        <v>18</v>
      </c>
      <c r="C199" s="47">
        <v>223779</v>
      </c>
      <c r="D199" s="47" t="s">
        <v>146</v>
      </c>
      <c r="E199" s="47" t="s">
        <v>20</v>
      </c>
      <c r="F199" s="49" t="s">
        <v>147</v>
      </c>
      <c r="G199" s="47" t="s">
        <v>514</v>
      </c>
      <c r="H199" s="47" t="s">
        <v>134</v>
      </c>
      <c r="I199" s="47" t="s">
        <v>135</v>
      </c>
      <c r="J199" s="47" t="s">
        <v>25</v>
      </c>
      <c r="K199" s="51">
        <v>1764705.88</v>
      </c>
      <c r="L199" s="47" t="s">
        <v>26</v>
      </c>
      <c r="M199" s="52">
        <f t="shared" si="3"/>
        <v>1764705.88</v>
      </c>
      <c r="N199" s="53">
        <v>0.15</v>
      </c>
      <c r="O199" s="47" t="s">
        <v>508</v>
      </c>
      <c r="P199" s="47" t="s">
        <v>87</v>
      </c>
      <c r="Q199" s="47" t="s">
        <v>29</v>
      </c>
    </row>
    <row r="200" hidden="1" spans="1:17">
      <c r="A200" s="47" t="s">
        <v>17</v>
      </c>
      <c r="B200" s="48" t="s">
        <v>18</v>
      </c>
      <c r="C200" s="47">
        <v>215864</v>
      </c>
      <c r="D200" s="47" t="s">
        <v>19</v>
      </c>
      <c r="E200" s="47" t="s">
        <v>20</v>
      </c>
      <c r="F200" s="49" t="s">
        <v>156</v>
      </c>
      <c r="G200" s="47" t="s">
        <v>515</v>
      </c>
      <c r="H200" s="47" t="s">
        <v>149</v>
      </c>
      <c r="I200" s="47" t="s">
        <v>126</v>
      </c>
      <c r="J200" s="47" t="s">
        <v>25</v>
      </c>
      <c r="K200" s="51">
        <v>4000000</v>
      </c>
      <c r="L200" s="47" t="s">
        <v>26</v>
      </c>
      <c r="M200" s="52">
        <f t="shared" si="3"/>
        <v>4000000</v>
      </c>
      <c r="N200" s="53">
        <v>0.125</v>
      </c>
      <c r="O200" s="47" t="s">
        <v>516</v>
      </c>
      <c r="P200" s="47" t="s">
        <v>517</v>
      </c>
      <c r="Q200" s="47" t="s">
        <v>33</v>
      </c>
    </row>
    <row r="201" hidden="1" spans="1:17">
      <c r="A201" s="47" t="s">
        <v>17</v>
      </c>
      <c r="B201" s="48" t="s">
        <v>68</v>
      </c>
      <c r="C201" s="47">
        <v>219994</v>
      </c>
      <c r="D201" s="47" t="s">
        <v>96</v>
      </c>
      <c r="E201" s="47" t="s">
        <v>70</v>
      </c>
      <c r="F201" s="49" t="s">
        <v>101</v>
      </c>
      <c r="G201" s="47" t="s">
        <v>518</v>
      </c>
      <c r="H201" s="47" t="s">
        <v>149</v>
      </c>
      <c r="I201" s="47" t="s">
        <v>126</v>
      </c>
      <c r="J201" s="47" t="s">
        <v>45</v>
      </c>
      <c r="K201" s="51">
        <v>25300000</v>
      </c>
      <c r="L201" s="47" t="s">
        <v>26</v>
      </c>
      <c r="M201" s="52">
        <f t="shared" si="3"/>
        <v>25300000</v>
      </c>
      <c r="N201" s="53">
        <v>0.13043</v>
      </c>
      <c r="O201" s="47" t="s">
        <v>516</v>
      </c>
      <c r="P201" s="47" t="s">
        <v>203</v>
      </c>
      <c r="Q201" s="47" t="s">
        <v>29</v>
      </c>
    </row>
    <row r="202" hidden="1" spans="1:17">
      <c r="A202" s="47" t="s">
        <v>17</v>
      </c>
      <c r="B202" s="48" t="s">
        <v>40</v>
      </c>
      <c r="C202" s="47">
        <v>220395</v>
      </c>
      <c r="D202" s="47" t="s">
        <v>122</v>
      </c>
      <c r="E202" s="47" t="s">
        <v>42</v>
      </c>
      <c r="F202" s="49" t="s">
        <v>519</v>
      </c>
      <c r="G202" s="47" t="s">
        <v>229</v>
      </c>
      <c r="H202" s="47" t="s">
        <v>163</v>
      </c>
      <c r="I202" s="47" t="s">
        <v>135</v>
      </c>
      <c r="J202" s="47" t="s">
        <v>45</v>
      </c>
      <c r="K202" s="51">
        <v>4500000</v>
      </c>
      <c r="L202" s="47" t="s">
        <v>26</v>
      </c>
      <c r="M202" s="52">
        <f t="shared" si="3"/>
        <v>4500000</v>
      </c>
      <c r="N202" s="53">
        <v>0.16667</v>
      </c>
      <c r="O202" s="47" t="s">
        <v>516</v>
      </c>
      <c r="P202" s="47" t="s">
        <v>32</v>
      </c>
      <c r="Q202" s="47" t="s">
        <v>209</v>
      </c>
    </row>
    <row r="203" hidden="1" spans="1:17">
      <c r="A203" s="47" t="s">
        <v>17</v>
      </c>
      <c r="B203" s="48" t="s">
        <v>18</v>
      </c>
      <c r="C203" s="47">
        <v>220401</v>
      </c>
      <c r="D203" s="47" t="s">
        <v>19</v>
      </c>
      <c r="E203" s="47" t="s">
        <v>20</v>
      </c>
      <c r="F203" s="49" t="s">
        <v>156</v>
      </c>
      <c r="G203" s="47" t="s">
        <v>520</v>
      </c>
      <c r="H203" s="47" t="s">
        <v>163</v>
      </c>
      <c r="I203" s="47" t="s">
        <v>135</v>
      </c>
      <c r="J203" s="47" t="s">
        <v>25</v>
      </c>
      <c r="K203" s="51">
        <v>20000000</v>
      </c>
      <c r="L203" s="47" t="s">
        <v>26</v>
      </c>
      <c r="M203" s="52">
        <f t="shared" si="3"/>
        <v>20000000</v>
      </c>
      <c r="N203" s="53">
        <v>0.075</v>
      </c>
      <c r="O203" s="47" t="s">
        <v>516</v>
      </c>
      <c r="P203" s="47" t="s">
        <v>32</v>
      </c>
      <c r="Q203" s="47" t="s">
        <v>100</v>
      </c>
    </row>
    <row r="204" hidden="1" spans="1:17">
      <c r="A204" s="47" t="s">
        <v>17</v>
      </c>
      <c r="B204" s="48" t="s">
        <v>34</v>
      </c>
      <c r="C204" s="47">
        <v>220532</v>
      </c>
      <c r="D204" s="47" t="s">
        <v>35</v>
      </c>
      <c r="E204" s="47" t="s">
        <v>36</v>
      </c>
      <c r="F204" s="49" t="s">
        <v>216</v>
      </c>
      <c r="G204" s="47" t="s">
        <v>521</v>
      </c>
      <c r="H204" s="47" t="s">
        <v>163</v>
      </c>
      <c r="I204" s="47" t="s">
        <v>135</v>
      </c>
      <c r="J204" s="47" t="s">
        <v>25</v>
      </c>
      <c r="K204" s="51">
        <v>1000000</v>
      </c>
      <c r="L204" s="47" t="s">
        <v>26</v>
      </c>
      <c r="M204" s="52">
        <f t="shared" si="3"/>
        <v>1000000</v>
      </c>
      <c r="N204" s="53">
        <v>0.15</v>
      </c>
      <c r="O204" s="47" t="s">
        <v>516</v>
      </c>
      <c r="P204" s="47" t="s">
        <v>226</v>
      </c>
      <c r="Q204" s="47" t="s">
        <v>29</v>
      </c>
    </row>
    <row r="205" hidden="1" spans="1:17">
      <c r="A205" s="47" t="s">
        <v>17</v>
      </c>
      <c r="B205" s="48" t="s">
        <v>18</v>
      </c>
      <c r="C205" s="47">
        <v>223299</v>
      </c>
      <c r="D205" s="47" t="s">
        <v>19</v>
      </c>
      <c r="E205" s="47" t="s">
        <v>20</v>
      </c>
      <c r="F205" s="49" t="s">
        <v>30</v>
      </c>
      <c r="G205" s="47" t="s">
        <v>522</v>
      </c>
      <c r="H205" s="47" t="s">
        <v>163</v>
      </c>
      <c r="I205" s="47" t="s">
        <v>135</v>
      </c>
      <c r="J205" s="47" t="s">
        <v>25</v>
      </c>
      <c r="K205" s="51">
        <v>70000000</v>
      </c>
      <c r="L205" s="47" t="s">
        <v>26</v>
      </c>
      <c r="M205" s="52">
        <f t="shared" si="3"/>
        <v>70000000</v>
      </c>
      <c r="N205" s="53">
        <v>0.04286</v>
      </c>
      <c r="O205" s="47" t="s">
        <v>516</v>
      </c>
      <c r="P205" s="47" t="s">
        <v>64</v>
      </c>
      <c r="Q205" s="47" t="s">
        <v>33</v>
      </c>
    </row>
    <row r="206" hidden="1" spans="1:17">
      <c r="A206" s="47" t="s">
        <v>17</v>
      </c>
      <c r="B206" s="48" t="s">
        <v>103</v>
      </c>
      <c r="C206" s="47">
        <v>220669</v>
      </c>
      <c r="D206" s="47" t="s">
        <v>104</v>
      </c>
      <c r="E206" s="47" t="s">
        <v>105</v>
      </c>
      <c r="F206" s="49" t="s">
        <v>137</v>
      </c>
      <c r="G206" s="47" t="s">
        <v>523</v>
      </c>
      <c r="H206" s="47" t="s">
        <v>125</v>
      </c>
      <c r="I206" s="47" t="s">
        <v>135</v>
      </c>
      <c r="J206" s="47" t="s">
        <v>25</v>
      </c>
      <c r="K206" s="51">
        <v>1000000</v>
      </c>
      <c r="L206" s="47" t="s">
        <v>26</v>
      </c>
      <c r="M206" s="52">
        <f t="shared" si="3"/>
        <v>1000000</v>
      </c>
      <c r="N206" s="53">
        <v>0.17</v>
      </c>
      <c r="O206" s="47" t="s">
        <v>524</v>
      </c>
      <c r="P206" s="47" t="s">
        <v>428</v>
      </c>
      <c r="Q206" s="47" t="s">
        <v>33</v>
      </c>
    </row>
    <row r="207" hidden="1" spans="1:17">
      <c r="A207" s="47" t="s">
        <v>17</v>
      </c>
      <c r="B207" s="48" t="s">
        <v>103</v>
      </c>
      <c r="C207" s="47">
        <v>219990</v>
      </c>
      <c r="D207" s="47" t="s">
        <v>116</v>
      </c>
      <c r="E207" s="47" t="s">
        <v>117</v>
      </c>
      <c r="F207" s="49" t="s">
        <v>525</v>
      </c>
      <c r="G207" s="47" t="s">
        <v>526</v>
      </c>
      <c r="H207" s="47" t="s">
        <v>134</v>
      </c>
      <c r="I207" s="47" t="s">
        <v>135</v>
      </c>
      <c r="J207" s="47" t="s">
        <v>45</v>
      </c>
      <c r="K207" s="51">
        <v>100</v>
      </c>
      <c r="L207" s="47" t="s">
        <v>26</v>
      </c>
      <c r="M207" s="52">
        <f t="shared" si="3"/>
        <v>100</v>
      </c>
      <c r="N207" s="53">
        <v>0.1</v>
      </c>
      <c r="O207" s="47" t="s">
        <v>527</v>
      </c>
      <c r="P207" s="47" t="s">
        <v>528</v>
      </c>
      <c r="Q207" s="47" t="s">
        <v>33</v>
      </c>
    </row>
    <row r="208" hidden="1" spans="1:17">
      <c r="A208" s="47" t="s">
        <v>17</v>
      </c>
      <c r="B208" s="48" t="s">
        <v>34</v>
      </c>
      <c r="C208" s="47">
        <v>220488</v>
      </c>
      <c r="D208" s="47" t="s">
        <v>252</v>
      </c>
      <c r="E208" s="47" t="s">
        <v>36</v>
      </c>
      <c r="F208" s="49" t="s">
        <v>253</v>
      </c>
      <c r="G208" s="47" t="s">
        <v>529</v>
      </c>
      <c r="H208" s="47" t="s">
        <v>125</v>
      </c>
      <c r="I208" s="47" t="s">
        <v>135</v>
      </c>
      <c r="J208" s="47" t="s">
        <v>45</v>
      </c>
      <c r="K208" s="51">
        <v>98795180.72</v>
      </c>
      <c r="L208" s="47" t="s">
        <v>26</v>
      </c>
      <c r="M208" s="52">
        <f t="shared" si="3"/>
        <v>98795180.72</v>
      </c>
      <c r="N208" s="53">
        <v>0.17</v>
      </c>
      <c r="O208" s="47" t="s">
        <v>527</v>
      </c>
      <c r="P208" s="47" t="s">
        <v>170</v>
      </c>
      <c r="Q208" s="47" t="s">
        <v>29</v>
      </c>
    </row>
    <row r="209" hidden="1" spans="1:17">
      <c r="A209" s="47" t="s">
        <v>17</v>
      </c>
      <c r="B209" s="48" t="s">
        <v>34</v>
      </c>
      <c r="C209" s="47">
        <v>220525</v>
      </c>
      <c r="D209" s="47" t="s">
        <v>48</v>
      </c>
      <c r="E209" s="47" t="s">
        <v>49</v>
      </c>
      <c r="F209" s="49" t="s">
        <v>530</v>
      </c>
      <c r="G209" s="47" t="s">
        <v>531</v>
      </c>
      <c r="H209" s="47" t="s">
        <v>163</v>
      </c>
      <c r="I209" s="47" t="s">
        <v>135</v>
      </c>
      <c r="J209" s="47" t="s">
        <v>25</v>
      </c>
      <c r="K209" s="51">
        <v>4117647.06</v>
      </c>
      <c r="L209" s="47" t="s">
        <v>26</v>
      </c>
      <c r="M209" s="52">
        <f t="shared" si="3"/>
        <v>4117647.06</v>
      </c>
      <c r="N209" s="53">
        <v>0.15</v>
      </c>
      <c r="O209" s="47" t="s">
        <v>527</v>
      </c>
      <c r="P209" s="47" t="s">
        <v>226</v>
      </c>
      <c r="Q209" s="47" t="s">
        <v>100</v>
      </c>
    </row>
    <row r="210" hidden="1" spans="1:17">
      <c r="A210" s="47" t="s">
        <v>17</v>
      </c>
      <c r="B210" s="48" t="s">
        <v>18</v>
      </c>
      <c r="C210" s="47">
        <v>220816</v>
      </c>
      <c r="D210" s="47" t="s">
        <v>146</v>
      </c>
      <c r="E210" s="47" t="s">
        <v>20</v>
      </c>
      <c r="F210" s="49" t="s">
        <v>532</v>
      </c>
      <c r="G210" s="47" t="s">
        <v>533</v>
      </c>
      <c r="H210" s="47" t="s">
        <v>125</v>
      </c>
      <c r="I210" s="47" t="s">
        <v>126</v>
      </c>
      <c r="J210" s="47" t="s">
        <v>25</v>
      </c>
      <c r="K210" s="51">
        <v>25996093.59</v>
      </c>
      <c r="L210" s="47" t="s">
        <v>26</v>
      </c>
      <c r="M210" s="52">
        <f t="shared" si="3"/>
        <v>25996093.59</v>
      </c>
      <c r="N210" s="53">
        <v>0.13904</v>
      </c>
      <c r="O210" s="47" t="s">
        <v>527</v>
      </c>
      <c r="P210" s="47" t="s">
        <v>77</v>
      </c>
      <c r="Q210" s="47" t="s">
        <v>29</v>
      </c>
    </row>
    <row r="211" hidden="1" spans="1:17">
      <c r="A211" s="47" t="s">
        <v>17</v>
      </c>
      <c r="B211" s="48" t="s">
        <v>103</v>
      </c>
      <c r="C211" s="47">
        <v>221857</v>
      </c>
      <c r="D211" s="47" t="s">
        <v>435</v>
      </c>
      <c r="E211" s="47" t="s">
        <v>105</v>
      </c>
      <c r="F211" s="49" t="s">
        <v>497</v>
      </c>
      <c r="G211" s="47" t="s">
        <v>534</v>
      </c>
      <c r="H211" s="47" t="s">
        <v>163</v>
      </c>
      <c r="I211" s="47" t="s">
        <v>135</v>
      </c>
      <c r="J211" s="47" t="s">
        <v>25</v>
      </c>
      <c r="K211" s="51">
        <v>17113417.2</v>
      </c>
      <c r="L211" s="47" t="s">
        <v>26</v>
      </c>
      <c r="M211" s="52">
        <f t="shared" si="3"/>
        <v>17113417.2</v>
      </c>
      <c r="N211" s="53">
        <v>0.1</v>
      </c>
      <c r="O211" s="47" t="s">
        <v>527</v>
      </c>
      <c r="P211" s="47" t="s">
        <v>367</v>
      </c>
      <c r="Q211" s="47" t="s">
        <v>33</v>
      </c>
    </row>
    <row r="212" hidden="1" spans="1:17">
      <c r="A212" s="47" t="s">
        <v>17</v>
      </c>
      <c r="B212" s="48" t="s">
        <v>103</v>
      </c>
      <c r="C212" s="47">
        <v>222136</v>
      </c>
      <c r="D212" s="47" t="s">
        <v>301</v>
      </c>
      <c r="E212" s="47" t="s">
        <v>129</v>
      </c>
      <c r="F212" s="49" t="s">
        <v>535</v>
      </c>
      <c r="G212" s="47" t="s">
        <v>536</v>
      </c>
      <c r="H212" s="47" t="s">
        <v>149</v>
      </c>
      <c r="I212" s="47" t="s">
        <v>126</v>
      </c>
      <c r="J212" s="47" t="s">
        <v>25</v>
      </c>
      <c r="K212" s="51">
        <v>8705882.35</v>
      </c>
      <c r="L212" s="47" t="s">
        <v>26</v>
      </c>
      <c r="M212" s="52">
        <f t="shared" si="3"/>
        <v>8705882.35</v>
      </c>
      <c r="N212" s="53">
        <v>0.15</v>
      </c>
      <c r="O212" s="47" t="s">
        <v>527</v>
      </c>
      <c r="P212" s="47" t="s">
        <v>236</v>
      </c>
      <c r="Q212" s="47" t="s">
        <v>29</v>
      </c>
    </row>
    <row r="213" hidden="1" spans="1:17">
      <c r="A213" s="47" t="s">
        <v>17</v>
      </c>
      <c r="B213" s="48" t="s">
        <v>34</v>
      </c>
      <c r="C213" s="47">
        <v>222278</v>
      </c>
      <c r="D213" s="47" t="s">
        <v>252</v>
      </c>
      <c r="E213" s="47" t="s">
        <v>36</v>
      </c>
      <c r="F213" s="49" t="s">
        <v>537</v>
      </c>
      <c r="G213" s="47" t="s">
        <v>538</v>
      </c>
      <c r="H213" s="47" t="s">
        <v>134</v>
      </c>
      <c r="I213" s="47" t="s">
        <v>135</v>
      </c>
      <c r="J213" s="47" t="s">
        <v>25</v>
      </c>
      <c r="K213" s="51">
        <v>6000000</v>
      </c>
      <c r="L213" s="47" t="s">
        <v>26</v>
      </c>
      <c r="M213" s="52">
        <f t="shared" si="3"/>
        <v>6000000</v>
      </c>
      <c r="N213" s="53">
        <v>0.2</v>
      </c>
      <c r="O213" s="47" t="s">
        <v>527</v>
      </c>
      <c r="P213" s="47" t="s">
        <v>501</v>
      </c>
      <c r="Q213" s="47" t="s">
        <v>100</v>
      </c>
    </row>
    <row r="214" hidden="1" spans="1:17">
      <c r="A214" s="47" t="s">
        <v>17</v>
      </c>
      <c r="B214" s="48" t="s">
        <v>18</v>
      </c>
      <c r="C214" s="47">
        <v>223918</v>
      </c>
      <c r="D214" s="47" t="s">
        <v>146</v>
      </c>
      <c r="E214" s="47" t="s">
        <v>20</v>
      </c>
      <c r="F214" s="49" t="s">
        <v>532</v>
      </c>
      <c r="G214" s="47" t="s">
        <v>539</v>
      </c>
      <c r="H214" s="47" t="s">
        <v>125</v>
      </c>
      <c r="I214" s="47" t="s">
        <v>135</v>
      </c>
      <c r="J214" s="47" t="s">
        <v>25</v>
      </c>
      <c r="K214" s="51">
        <v>11148000</v>
      </c>
      <c r="L214" s="47" t="s">
        <v>26</v>
      </c>
      <c r="M214" s="52">
        <f t="shared" ref="M214:M271" si="4">K214</f>
        <v>11148000</v>
      </c>
      <c r="N214" s="54"/>
      <c r="O214" s="47" t="s">
        <v>527</v>
      </c>
      <c r="P214" s="47" t="s">
        <v>99</v>
      </c>
      <c r="Q214" s="47" t="s">
        <v>29</v>
      </c>
    </row>
    <row r="215" hidden="1" spans="1:17">
      <c r="A215" s="48" t="s">
        <v>17</v>
      </c>
      <c r="B215" s="48" t="s">
        <v>18</v>
      </c>
      <c r="C215" s="47">
        <v>206308</v>
      </c>
      <c r="D215" s="47" t="s">
        <v>171</v>
      </c>
      <c r="E215" s="47" t="s">
        <v>172</v>
      </c>
      <c r="F215" s="49" t="s">
        <v>540</v>
      </c>
      <c r="G215" s="47" t="s">
        <v>541</v>
      </c>
      <c r="H215" s="47" t="s">
        <v>163</v>
      </c>
      <c r="I215" s="47" t="s">
        <v>135</v>
      </c>
      <c r="J215" s="47" t="s">
        <v>25</v>
      </c>
      <c r="K215" s="51">
        <v>750000</v>
      </c>
      <c r="L215" s="47" t="s">
        <v>26</v>
      </c>
      <c r="M215" s="52">
        <f t="shared" si="4"/>
        <v>750000</v>
      </c>
      <c r="N215" s="53">
        <v>0.13333</v>
      </c>
      <c r="O215" s="47" t="s">
        <v>542</v>
      </c>
      <c r="P215" s="47" t="s">
        <v>543</v>
      </c>
      <c r="Q215" s="47" t="s">
        <v>33</v>
      </c>
    </row>
    <row r="216" hidden="1" spans="1:17">
      <c r="A216" s="48" t="s">
        <v>17</v>
      </c>
      <c r="B216" s="48" t="s">
        <v>18</v>
      </c>
      <c r="C216" s="47">
        <v>211621</v>
      </c>
      <c r="D216" s="47" t="s">
        <v>171</v>
      </c>
      <c r="E216" s="47" t="s">
        <v>172</v>
      </c>
      <c r="F216" s="49" t="s">
        <v>540</v>
      </c>
      <c r="G216" s="47" t="s">
        <v>544</v>
      </c>
      <c r="H216" s="47" t="s">
        <v>163</v>
      </c>
      <c r="I216" s="47" t="s">
        <v>135</v>
      </c>
      <c r="J216" s="47" t="s">
        <v>25</v>
      </c>
      <c r="K216" s="51">
        <v>1500000</v>
      </c>
      <c r="L216" s="47" t="s">
        <v>26</v>
      </c>
      <c r="M216" s="52">
        <f t="shared" si="4"/>
        <v>1500000</v>
      </c>
      <c r="N216" s="53">
        <v>0.2</v>
      </c>
      <c r="O216" s="47" t="s">
        <v>542</v>
      </c>
      <c r="P216" s="47" t="s">
        <v>545</v>
      </c>
      <c r="Q216" s="47" t="s">
        <v>209</v>
      </c>
    </row>
    <row r="217" hidden="1" spans="1:17">
      <c r="A217" s="47" t="s">
        <v>17</v>
      </c>
      <c r="B217" s="48" t="s">
        <v>103</v>
      </c>
      <c r="C217" s="47">
        <v>213950</v>
      </c>
      <c r="D217" s="47" t="s">
        <v>116</v>
      </c>
      <c r="E217" s="47" t="s">
        <v>117</v>
      </c>
      <c r="F217" s="49" t="s">
        <v>546</v>
      </c>
      <c r="G217" s="47" t="s">
        <v>547</v>
      </c>
      <c r="H217" s="47" t="s">
        <v>149</v>
      </c>
      <c r="I217" s="47" t="s">
        <v>126</v>
      </c>
      <c r="J217" s="47" t="s">
        <v>25</v>
      </c>
      <c r="K217" s="51">
        <v>48295454.55</v>
      </c>
      <c r="L217" s="47" t="s">
        <v>26</v>
      </c>
      <c r="M217" s="52">
        <f t="shared" si="4"/>
        <v>48295454.55</v>
      </c>
      <c r="N217" s="53">
        <v>0.12</v>
      </c>
      <c r="O217" s="47" t="s">
        <v>542</v>
      </c>
      <c r="P217" s="47" t="s">
        <v>548</v>
      </c>
      <c r="Q217" s="47" t="s">
        <v>100</v>
      </c>
    </row>
    <row r="218" hidden="1" spans="1:17">
      <c r="A218" s="47" t="s">
        <v>17</v>
      </c>
      <c r="B218" s="48" t="s">
        <v>18</v>
      </c>
      <c r="C218" s="47">
        <v>213987</v>
      </c>
      <c r="D218" s="47" t="s">
        <v>171</v>
      </c>
      <c r="E218" s="47" t="s">
        <v>172</v>
      </c>
      <c r="F218" s="49" t="s">
        <v>540</v>
      </c>
      <c r="G218" s="47" t="s">
        <v>549</v>
      </c>
      <c r="H218" s="47" t="s">
        <v>134</v>
      </c>
      <c r="I218" s="47" t="s">
        <v>135</v>
      </c>
      <c r="J218" s="47" t="s">
        <v>25</v>
      </c>
      <c r="K218" s="51">
        <v>2000000</v>
      </c>
      <c r="L218" s="47" t="s">
        <v>26</v>
      </c>
      <c r="M218" s="52">
        <f t="shared" si="4"/>
        <v>2000000</v>
      </c>
      <c r="N218" s="54"/>
      <c r="O218" s="47" t="s">
        <v>542</v>
      </c>
      <c r="P218" s="47" t="s">
        <v>28</v>
      </c>
      <c r="Q218" s="47" t="s">
        <v>209</v>
      </c>
    </row>
    <row r="219" hidden="1" spans="1:17">
      <c r="A219" s="47" t="s">
        <v>17</v>
      </c>
      <c r="B219" s="48" t="s">
        <v>103</v>
      </c>
      <c r="C219" s="47">
        <v>215757</v>
      </c>
      <c r="D219" s="47" t="s">
        <v>116</v>
      </c>
      <c r="E219" s="47" t="s">
        <v>117</v>
      </c>
      <c r="F219" s="49" t="s">
        <v>546</v>
      </c>
      <c r="G219" s="47" t="s">
        <v>550</v>
      </c>
      <c r="H219" s="47" t="s">
        <v>149</v>
      </c>
      <c r="I219" s="47" t="s">
        <v>126</v>
      </c>
      <c r="J219" s="47" t="s">
        <v>25</v>
      </c>
      <c r="K219" s="51">
        <v>15000000.0005725</v>
      </c>
      <c r="L219" s="47" t="s">
        <v>26</v>
      </c>
      <c r="M219" s="52">
        <f t="shared" si="4"/>
        <v>15000000.0005725</v>
      </c>
      <c r="N219" s="53">
        <v>0.12667</v>
      </c>
      <c r="O219" s="47" t="s">
        <v>542</v>
      </c>
      <c r="P219" s="47" t="s">
        <v>551</v>
      </c>
      <c r="Q219" s="47" t="s">
        <v>33</v>
      </c>
    </row>
    <row r="220" hidden="1" spans="1:17">
      <c r="A220" s="47" t="s">
        <v>17</v>
      </c>
      <c r="B220" s="48" t="s">
        <v>103</v>
      </c>
      <c r="C220" s="47">
        <v>220388</v>
      </c>
      <c r="D220" s="47" t="s">
        <v>104</v>
      </c>
      <c r="E220" s="47" t="s">
        <v>105</v>
      </c>
      <c r="F220" s="49" t="s">
        <v>552</v>
      </c>
      <c r="G220" s="47" t="s">
        <v>553</v>
      </c>
      <c r="H220" s="47" t="s">
        <v>125</v>
      </c>
      <c r="I220" s="47" t="s">
        <v>135</v>
      </c>
      <c r="J220" s="47" t="s">
        <v>25</v>
      </c>
      <c r="K220" s="51">
        <v>1200000</v>
      </c>
      <c r="L220" s="47" t="s">
        <v>26</v>
      </c>
      <c r="M220" s="52">
        <f t="shared" si="4"/>
        <v>1200000</v>
      </c>
      <c r="N220" s="53">
        <v>0.16667</v>
      </c>
      <c r="O220" s="47" t="s">
        <v>542</v>
      </c>
      <c r="P220" s="47" t="s">
        <v>32</v>
      </c>
      <c r="Q220" s="47" t="s">
        <v>33</v>
      </c>
    </row>
    <row r="221" hidden="1" spans="1:17">
      <c r="A221" s="47" t="s">
        <v>17</v>
      </c>
      <c r="B221" s="48" t="s">
        <v>68</v>
      </c>
      <c r="C221" s="47">
        <v>220439</v>
      </c>
      <c r="D221" s="47" t="s">
        <v>281</v>
      </c>
      <c r="E221" s="47" t="s">
        <v>70</v>
      </c>
      <c r="F221" s="49" t="s">
        <v>492</v>
      </c>
      <c r="G221" s="47" t="s">
        <v>554</v>
      </c>
      <c r="H221" s="47" t="s">
        <v>125</v>
      </c>
      <c r="I221" s="47" t="s">
        <v>135</v>
      </c>
      <c r="J221" s="47" t="s">
        <v>25</v>
      </c>
      <c r="K221" s="51">
        <v>19000000</v>
      </c>
      <c r="L221" s="47" t="s">
        <v>26</v>
      </c>
      <c r="M221" s="52">
        <f t="shared" si="4"/>
        <v>19000000</v>
      </c>
      <c r="N221" s="53">
        <v>0.15789</v>
      </c>
      <c r="O221" s="47" t="s">
        <v>542</v>
      </c>
      <c r="P221" s="47" t="s">
        <v>170</v>
      </c>
      <c r="Q221" s="47" t="s">
        <v>29</v>
      </c>
    </row>
    <row r="222" hidden="1" spans="1:17">
      <c r="A222" s="47" t="s">
        <v>17</v>
      </c>
      <c r="B222" s="48" t="s">
        <v>18</v>
      </c>
      <c r="C222" s="47">
        <v>220494</v>
      </c>
      <c r="D222" s="47" t="s">
        <v>275</v>
      </c>
      <c r="E222" s="47" t="s">
        <v>20</v>
      </c>
      <c r="F222" s="49" t="s">
        <v>555</v>
      </c>
      <c r="G222" s="47" t="s">
        <v>556</v>
      </c>
      <c r="H222" s="47" t="s">
        <v>134</v>
      </c>
      <c r="I222" s="47" t="s">
        <v>135</v>
      </c>
      <c r="J222" s="47" t="s">
        <v>25</v>
      </c>
      <c r="K222" s="51">
        <v>20000000</v>
      </c>
      <c r="L222" s="47" t="s">
        <v>26</v>
      </c>
      <c r="M222" s="52">
        <f t="shared" si="4"/>
        <v>20000000</v>
      </c>
      <c r="N222" s="53">
        <v>0.1</v>
      </c>
      <c r="O222" s="47" t="s">
        <v>542</v>
      </c>
      <c r="P222" s="47" t="s">
        <v>170</v>
      </c>
      <c r="Q222" s="47" t="s">
        <v>33</v>
      </c>
    </row>
    <row r="223" hidden="1" spans="1:17">
      <c r="A223" s="47" t="s">
        <v>17</v>
      </c>
      <c r="B223" s="48" t="s">
        <v>34</v>
      </c>
      <c r="C223" s="47">
        <v>220471</v>
      </c>
      <c r="D223" s="47" t="s">
        <v>278</v>
      </c>
      <c r="E223" s="47" t="s">
        <v>36</v>
      </c>
      <c r="F223" s="49" t="s">
        <v>557</v>
      </c>
      <c r="G223" s="47" t="s">
        <v>558</v>
      </c>
      <c r="H223" s="47" t="s">
        <v>125</v>
      </c>
      <c r="I223" s="47" t="s">
        <v>126</v>
      </c>
      <c r="J223" s="47" t="s">
        <v>25</v>
      </c>
      <c r="K223" s="51">
        <v>3000000</v>
      </c>
      <c r="L223" s="47" t="s">
        <v>26</v>
      </c>
      <c r="M223" s="52">
        <f t="shared" si="4"/>
        <v>3000000</v>
      </c>
      <c r="N223" s="53">
        <v>0.1</v>
      </c>
      <c r="O223" s="47" t="s">
        <v>542</v>
      </c>
      <c r="P223" s="47" t="s">
        <v>170</v>
      </c>
      <c r="Q223" s="47" t="s">
        <v>29</v>
      </c>
    </row>
    <row r="224" hidden="1" spans="1:17">
      <c r="A224" s="47" t="s">
        <v>17</v>
      </c>
      <c r="B224" s="48" t="s">
        <v>18</v>
      </c>
      <c r="C224" s="47">
        <v>220489</v>
      </c>
      <c r="D224" s="47" t="s">
        <v>275</v>
      </c>
      <c r="E224" s="47" t="s">
        <v>20</v>
      </c>
      <c r="F224" s="49" t="s">
        <v>559</v>
      </c>
      <c r="G224" s="47" t="s">
        <v>560</v>
      </c>
      <c r="H224" s="47" t="s">
        <v>134</v>
      </c>
      <c r="I224" s="47" t="s">
        <v>135</v>
      </c>
      <c r="J224" s="47" t="s">
        <v>25</v>
      </c>
      <c r="K224" s="54"/>
      <c r="L224" s="47" t="s">
        <v>26</v>
      </c>
      <c r="M224" s="52">
        <f t="shared" si="4"/>
        <v>0</v>
      </c>
      <c r="N224" s="54"/>
      <c r="O224" s="47" t="s">
        <v>542</v>
      </c>
      <c r="P224" s="47" t="s">
        <v>170</v>
      </c>
      <c r="Q224" s="47" t="s">
        <v>33</v>
      </c>
    </row>
    <row r="225" hidden="1" spans="1:17">
      <c r="A225" s="47" t="s">
        <v>17</v>
      </c>
      <c r="B225" s="48" t="s">
        <v>34</v>
      </c>
      <c r="C225" s="47">
        <v>220965</v>
      </c>
      <c r="D225" s="47" t="s">
        <v>48</v>
      </c>
      <c r="E225" s="47" t="s">
        <v>49</v>
      </c>
      <c r="F225" s="49" t="s">
        <v>561</v>
      </c>
      <c r="G225" s="47" t="s">
        <v>562</v>
      </c>
      <c r="H225" s="47" t="s">
        <v>163</v>
      </c>
      <c r="I225" s="47" t="s">
        <v>135</v>
      </c>
      <c r="J225" s="47" t="s">
        <v>25</v>
      </c>
      <c r="K225" s="51">
        <v>14117647.06</v>
      </c>
      <c r="L225" s="47" t="s">
        <v>26</v>
      </c>
      <c r="M225" s="52">
        <f t="shared" si="4"/>
        <v>14117647.06</v>
      </c>
      <c r="N225" s="53">
        <v>0.15</v>
      </c>
      <c r="O225" s="47" t="s">
        <v>542</v>
      </c>
      <c r="P225" s="47" t="s">
        <v>79</v>
      </c>
      <c r="Q225" s="47" t="s">
        <v>29</v>
      </c>
    </row>
    <row r="226" hidden="1" spans="1:17">
      <c r="A226" s="47" t="s">
        <v>17</v>
      </c>
      <c r="B226" s="48" t="s">
        <v>40</v>
      </c>
      <c r="C226" s="47">
        <v>221451</v>
      </c>
      <c r="D226" s="47" t="s">
        <v>41</v>
      </c>
      <c r="E226" s="47" t="s">
        <v>42</v>
      </c>
      <c r="F226" s="49" t="s">
        <v>563</v>
      </c>
      <c r="G226" s="47" t="s">
        <v>564</v>
      </c>
      <c r="H226" s="47" t="s">
        <v>125</v>
      </c>
      <c r="I226" s="47" t="s">
        <v>135</v>
      </c>
      <c r="J226" s="47" t="s">
        <v>45</v>
      </c>
      <c r="K226" s="51">
        <v>60795454.55</v>
      </c>
      <c r="L226" s="47" t="s">
        <v>26</v>
      </c>
      <c r="M226" s="52">
        <f t="shared" si="4"/>
        <v>60795454.55</v>
      </c>
      <c r="N226" s="53">
        <v>0.12</v>
      </c>
      <c r="O226" s="47" t="s">
        <v>542</v>
      </c>
      <c r="P226" s="47" t="s">
        <v>565</v>
      </c>
      <c r="Q226" s="47" t="s">
        <v>33</v>
      </c>
    </row>
    <row r="227" hidden="1" spans="1:17">
      <c r="A227" s="47" t="s">
        <v>17</v>
      </c>
      <c r="B227" s="48" t="s">
        <v>34</v>
      </c>
      <c r="C227" s="47">
        <v>222272</v>
      </c>
      <c r="D227" s="47" t="s">
        <v>252</v>
      </c>
      <c r="E227" s="47" t="s">
        <v>36</v>
      </c>
      <c r="F227" s="49" t="s">
        <v>566</v>
      </c>
      <c r="G227" s="47" t="s">
        <v>567</v>
      </c>
      <c r="H227" s="47" t="s">
        <v>134</v>
      </c>
      <c r="I227" s="47" t="s">
        <v>135</v>
      </c>
      <c r="J227" s="47" t="s">
        <v>45</v>
      </c>
      <c r="K227" s="51">
        <v>2500000</v>
      </c>
      <c r="L227" s="47" t="s">
        <v>26</v>
      </c>
      <c r="M227" s="52">
        <f t="shared" si="4"/>
        <v>2500000</v>
      </c>
      <c r="N227" s="53">
        <v>0.2</v>
      </c>
      <c r="O227" s="47" t="s">
        <v>542</v>
      </c>
      <c r="P227" s="47" t="s">
        <v>501</v>
      </c>
      <c r="Q227" s="47" t="s">
        <v>100</v>
      </c>
    </row>
    <row r="228" hidden="1" spans="1:17">
      <c r="A228" s="47" t="s">
        <v>17</v>
      </c>
      <c r="B228" s="48" t="s">
        <v>18</v>
      </c>
      <c r="C228" s="47">
        <v>222303</v>
      </c>
      <c r="D228" s="47" t="s">
        <v>171</v>
      </c>
      <c r="E228" s="47" t="s">
        <v>172</v>
      </c>
      <c r="F228" s="49" t="s">
        <v>173</v>
      </c>
      <c r="G228" s="47" t="s">
        <v>568</v>
      </c>
      <c r="H228" s="47" t="s">
        <v>134</v>
      </c>
      <c r="I228" s="47" t="s">
        <v>135</v>
      </c>
      <c r="J228" s="47" t="s">
        <v>25</v>
      </c>
      <c r="K228" s="51">
        <v>1500000</v>
      </c>
      <c r="L228" s="47" t="s">
        <v>26</v>
      </c>
      <c r="M228" s="52">
        <f t="shared" si="4"/>
        <v>1500000</v>
      </c>
      <c r="N228" s="54"/>
      <c r="O228" s="47" t="s">
        <v>542</v>
      </c>
      <c r="P228" s="47" t="s">
        <v>175</v>
      </c>
      <c r="Q228" s="47" t="s">
        <v>29</v>
      </c>
    </row>
    <row r="229" hidden="1" spans="1:17">
      <c r="A229" s="47" t="s">
        <v>17</v>
      </c>
      <c r="B229" s="48" t="s">
        <v>68</v>
      </c>
      <c r="C229" s="47">
        <v>223068</v>
      </c>
      <c r="D229" s="47" t="s">
        <v>281</v>
      </c>
      <c r="E229" s="47" t="s">
        <v>70</v>
      </c>
      <c r="F229" s="49" t="s">
        <v>282</v>
      </c>
      <c r="G229" s="47" t="s">
        <v>569</v>
      </c>
      <c r="H229" s="47" t="s">
        <v>134</v>
      </c>
      <c r="I229" s="47" t="s">
        <v>135</v>
      </c>
      <c r="J229" s="47" t="s">
        <v>143</v>
      </c>
      <c r="K229" s="51">
        <v>4000000</v>
      </c>
      <c r="L229" s="47" t="s">
        <v>26</v>
      </c>
      <c r="M229" s="52">
        <f t="shared" si="4"/>
        <v>4000000</v>
      </c>
      <c r="N229" s="53">
        <v>0.125</v>
      </c>
      <c r="O229" s="47" t="s">
        <v>542</v>
      </c>
      <c r="P229" s="47" t="s">
        <v>307</v>
      </c>
      <c r="Q229" s="47" t="s">
        <v>33</v>
      </c>
    </row>
    <row r="230" hidden="1" spans="1:17">
      <c r="A230" s="47" t="s">
        <v>17</v>
      </c>
      <c r="B230" s="48" t="s">
        <v>103</v>
      </c>
      <c r="C230" s="47">
        <v>223683</v>
      </c>
      <c r="D230" s="47" t="s">
        <v>301</v>
      </c>
      <c r="E230" s="47" t="s">
        <v>129</v>
      </c>
      <c r="F230" s="49" t="s">
        <v>570</v>
      </c>
      <c r="G230" s="47" t="s">
        <v>571</v>
      </c>
      <c r="H230" s="47" t="s">
        <v>125</v>
      </c>
      <c r="I230" s="47" t="s">
        <v>135</v>
      </c>
      <c r="J230" s="47" t="s">
        <v>25</v>
      </c>
      <c r="K230" s="51">
        <v>8899999.99981744</v>
      </c>
      <c r="L230" s="47" t="s">
        <v>26</v>
      </c>
      <c r="M230" s="52">
        <f t="shared" si="4"/>
        <v>8899999.99981744</v>
      </c>
      <c r="N230" s="53">
        <v>0.1236</v>
      </c>
      <c r="O230" s="47" t="s">
        <v>542</v>
      </c>
      <c r="P230" s="47" t="s">
        <v>63</v>
      </c>
      <c r="Q230" s="47" t="s">
        <v>29</v>
      </c>
    </row>
    <row r="231" hidden="1" spans="1:17">
      <c r="A231" s="47" t="s">
        <v>17</v>
      </c>
      <c r="B231" s="48" t="s">
        <v>68</v>
      </c>
      <c r="C231" s="47">
        <v>220008</v>
      </c>
      <c r="D231" s="47" t="s">
        <v>69</v>
      </c>
      <c r="E231" s="47" t="s">
        <v>70</v>
      </c>
      <c r="F231" s="49" t="s">
        <v>572</v>
      </c>
      <c r="G231" s="47" t="s">
        <v>573</v>
      </c>
      <c r="H231" s="47" t="s">
        <v>163</v>
      </c>
      <c r="I231" s="47" t="s">
        <v>135</v>
      </c>
      <c r="J231" s="47" t="s">
        <v>25</v>
      </c>
      <c r="K231" s="51">
        <v>1465909.09</v>
      </c>
      <c r="L231" s="47" t="s">
        <v>26</v>
      </c>
      <c r="M231" s="52">
        <f t="shared" si="4"/>
        <v>1465909.09</v>
      </c>
      <c r="N231" s="53">
        <v>0.12</v>
      </c>
      <c r="O231" s="47" t="s">
        <v>574</v>
      </c>
      <c r="P231" s="47" t="s">
        <v>203</v>
      </c>
      <c r="Q231" s="47" t="s">
        <v>33</v>
      </c>
    </row>
    <row r="232" hidden="1" spans="1:17">
      <c r="A232" s="47" t="s">
        <v>17</v>
      </c>
      <c r="B232" s="48" t="s">
        <v>40</v>
      </c>
      <c r="C232" s="47">
        <v>220506</v>
      </c>
      <c r="D232" s="47" t="s">
        <v>41</v>
      </c>
      <c r="E232" s="47" t="s">
        <v>42</v>
      </c>
      <c r="F232" s="49" t="s">
        <v>418</v>
      </c>
      <c r="G232" s="47" t="s">
        <v>575</v>
      </c>
      <c r="H232" s="47" t="s">
        <v>163</v>
      </c>
      <c r="I232" s="47" t="s">
        <v>135</v>
      </c>
      <c r="J232" s="47" t="s">
        <v>45</v>
      </c>
      <c r="K232" s="51">
        <v>1200000</v>
      </c>
      <c r="L232" s="47" t="s">
        <v>26</v>
      </c>
      <c r="M232" s="52">
        <f t="shared" si="4"/>
        <v>1200000</v>
      </c>
      <c r="N232" s="53">
        <v>0</v>
      </c>
      <c r="O232" s="47" t="s">
        <v>574</v>
      </c>
      <c r="P232" s="47" t="s">
        <v>170</v>
      </c>
      <c r="Q232" s="47" t="s">
        <v>33</v>
      </c>
    </row>
    <row r="233" hidden="1" spans="1:17">
      <c r="A233" s="47" t="s">
        <v>17</v>
      </c>
      <c r="B233" s="48" t="s">
        <v>103</v>
      </c>
      <c r="C233" s="47">
        <v>222695</v>
      </c>
      <c r="D233" s="47" t="s">
        <v>160</v>
      </c>
      <c r="E233" s="47" t="s">
        <v>117</v>
      </c>
      <c r="F233" s="49" t="s">
        <v>576</v>
      </c>
      <c r="G233" s="47" t="s">
        <v>577</v>
      </c>
      <c r="H233" s="47" t="s">
        <v>125</v>
      </c>
      <c r="I233" s="47" t="s">
        <v>135</v>
      </c>
      <c r="J233" s="47" t="s">
        <v>45</v>
      </c>
      <c r="K233" s="51">
        <v>11003086.9994682</v>
      </c>
      <c r="L233" s="47" t="s">
        <v>26</v>
      </c>
      <c r="M233" s="52">
        <f t="shared" si="4"/>
        <v>11003086.9994682</v>
      </c>
      <c r="N233" s="53">
        <v>0.12673</v>
      </c>
      <c r="O233" s="47" t="s">
        <v>574</v>
      </c>
      <c r="P233" s="47" t="s">
        <v>183</v>
      </c>
      <c r="Q233" s="47" t="s">
        <v>29</v>
      </c>
    </row>
    <row r="234" hidden="1" spans="1:17">
      <c r="A234" s="47" t="s">
        <v>17</v>
      </c>
      <c r="B234" s="48" t="s">
        <v>103</v>
      </c>
      <c r="C234" s="47">
        <v>223248</v>
      </c>
      <c r="D234" s="47" t="s">
        <v>326</v>
      </c>
      <c r="E234" s="47" t="s">
        <v>117</v>
      </c>
      <c r="F234" s="49" t="s">
        <v>578</v>
      </c>
      <c r="G234" s="47" t="s">
        <v>579</v>
      </c>
      <c r="H234" s="47" t="s">
        <v>163</v>
      </c>
      <c r="I234" s="47" t="s">
        <v>135</v>
      </c>
      <c r="J234" s="47" t="s">
        <v>25</v>
      </c>
      <c r="K234" s="51">
        <v>1699999.99992714</v>
      </c>
      <c r="L234" s="47" t="s">
        <v>26</v>
      </c>
      <c r="M234" s="52">
        <f t="shared" si="4"/>
        <v>1699999.99992714</v>
      </c>
      <c r="N234" s="53">
        <v>0.17647</v>
      </c>
      <c r="O234" s="47" t="s">
        <v>574</v>
      </c>
      <c r="P234" s="47" t="s">
        <v>47</v>
      </c>
      <c r="Q234" s="47" t="s">
        <v>259</v>
      </c>
    </row>
    <row r="235" hidden="1" spans="1:17">
      <c r="A235" s="47" t="s">
        <v>17</v>
      </c>
      <c r="B235" s="48" t="s">
        <v>103</v>
      </c>
      <c r="C235" s="47">
        <v>223493</v>
      </c>
      <c r="D235" s="47" t="s">
        <v>301</v>
      </c>
      <c r="E235" s="47" t="s">
        <v>129</v>
      </c>
      <c r="F235" s="49" t="s">
        <v>570</v>
      </c>
      <c r="G235" s="47" t="s">
        <v>580</v>
      </c>
      <c r="H235" s="47" t="s">
        <v>134</v>
      </c>
      <c r="I235" s="47" t="s">
        <v>135</v>
      </c>
      <c r="J235" s="47" t="s">
        <v>25</v>
      </c>
      <c r="K235" s="51">
        <v>87209302.33</v>
      </c>
      <c r="L235" s="47" t="s">
        <v>26</v>
      </c>
      <c r="M235" s="52">
        <f t="shared" si="4"/>
        <v>87209302.33</v>
      </c>
      <c r="N235" s="53">
        <v>0.14</v>
      </c>
      <c r="O235" s="47" t="s">
        <v>574</v>
      </c>
      <c r="P235" s="47" t="s">
        <v>193</v>
      </c>
      <c r="Q235" s="47" t="s">
        <v>33</v>
      </c>
    </row>
    <row r="236" hidden="1" spans="1:17">
      <c r="A236" s="47" t="s">
        <v>17</v>
      </c>
      <c r="B236" s="48" t="s">
        <v>68</v>
      </c>
      <c r="C236" s="47">
        <v>220017</v>
      </c>
      <c r="D236" s="47" t="s">
        <v>69</v>
      </c>
      <c r="E236" s="47" t="s">
        <v>70</v>
      </c>
      <c r="F236" s="49" t="s">
        <v>581</v>
      </c>
      <c r="G236" s="47" t="s">
        <v>582</v>
      </c>
      <c r="H236" s="47" t="s">
        <v>163</v>
      </c>
      <c r="I236" s="47" t="s">
        <v>135</v>
      </c>
      <c r="J236" s="47" t="s">
        <v>25</v>
      </c>
      <c r="K236" s="51">
        <v>2500000</v>
      </c>
      <c r="L236" s="47" t="s">
        <v>26</v>
      </c>
      <c r="M236" s="52">
        <f t="shared" si="4"/>
        <v>2500000</v>
      </c>
      <c r="N236" s="53">
        <v>0.12</v>
      </c>
      <c r="O236" s="47" t="s">
        <v>583</v>
      </c>
      <c r="P236" s="47" t="s">
        <v>203</v>
      </c>
      <c r="Q236" s="47" t="s">
        <v>33</v>
      </c>
    </row>
    <row r="237" hidden="1" spans="1:17">
      <c r="A237" s="47" t="s">
        <v>17</v>
      </c>
      <c r="B237" s="48" t="s">
        <v>68</v>
      </c>
      <c r="C237" s="47">
        <v>222700</v>
      </c>
      <c r="D237" s="47" t="s">
        <v>69</v>
      </c>
      <c r="E237" s="47" t="s">
        <v>70</v>
      </c>
      <c r="F237" s="49" t="s">
        <v>584</v>
      </c>
      <c r="G237" s="47" t="s">
        <v>585</v>
      </c>
      <c r="H237" s="47" t="s">
        <v>125</v>
      </c>
      <c r="I237" s="47" t="s">
        <v>135</v>
      </c>
      <c r="J237" s="47" t="s">
        <v>73</v>
      </c>
      <c r="K237" s="51">
        <v>3750000</v>
      </c>
      <c r="L237" s="47" t="s">
        <v>26</v>
      </c>
      <c r="M237" s="52">
        <f t="shared" si="4"/>
        <v>3750000</v>
      </c>
      <c r="N237" s="53">
        <v>0.12</v>
      </c>
      <c r="O237" s="47" t="s">
        <v>583</v>
      </c>
      <c r="P237" s="47" t="s">
        <v>183</v>
      </c>
      <c r="Q237" s="47" t="s">
        <v>29</v>
      </c>
    </row>
    <row r="238" hidden="1" spans="1:17">
      <c r="A238" s="47" t="s">
        <v>17</v>
      </c>
      <c r="B238" s="48" t="s">
        <v>68</v>
      </c>
      <c r="C238" s="47">
        <v>222704</v>
      </c>
      <c r="D238" s="47" t="s">
        <v>69</v>
      </c>
      <c r="E238" s="47" t="s">
        <v>70</v>
      </c>
      <c r="F238" s="49" t="s">
        <v>83</v>
      </c>
      <c r="G238" s="47" t="s">
        <v>586</v>
      </c>
      <c r="H238" s="47" t="s">
        <v>163</v>
      </c>
      <c r="I238" s="47" t="s">
        <v>135</v>
      </c>
      <c r="J238" s="47" t="s">
        <v>25</v>
      </c>
      <c r="K238" s="51">
        <v>4499999.99988462</v>
      </c>
      <c r="L238" s="47" t="s">
        <v>26</v>
      </c>
      <c r="M238" s="52">
        <f t="shared" si="4"/>
        <v>4499999.99988462</v>
      </c>
      <c r="N238" s="53">
        <v>0.13</v>
      </c>
      <c r="O238" s="47" t="s">
        <v>583</v>
      </c>
      <c r="P238" s="47" t="s">
        <v>183</v>
      </c>
      <c r="Q238" s="47" t="s">
        <v>33</v>
      </c>
    </row>
    <row r="239" hidden="1" spans="1:17">
      <c r="A239" s="47" t="s">
        <v>17</v>
      </c>
      <c r="B239" s="48" t="s">
        <v>68</v>
      </c>
      <c r="C239" s="47">
        <v>222713</v>
      </c>
      <c r="D239" s="47" t="s">
        <v>69</v>
      </c>
      <c r="E239" s="47" t="s">
        <v>70</v>
      </c>
      <c r="F239" s="49" t="s">
        <v>273</v>
      </c>
      <c r="G239" s="47" t="s">
        <v>587</v>
      </c>
      <c r="H239" s="47" t="s">
        <v>163</v>
      </c>
      <c r="I239" s="47" t="s">
        <v>135</v>
      </c>
      <c r="J239" s="47" t="s">
        <v>73</v>
      </c>
      <c r="K239" s="51">
        <v>5000000</v>
      </c>
      <c r="L239" s="47" t="s">
        <v>26</v>
      </c>
      <c r="M239" s="52">
        <f t="shared" si="4"/>
        <v>5000000</v>
      </c>
      <c r="N239" s="53">
        <v>0.125</v>
      </c>
      <c r="O239" s="47" t="s">
        <v>583</v>
      </c>
      <c r="P239" s="47" t="s">
        <v>183</v>
      </c>
      <c r="Q239" s="47" t="s">
        <v>33</v>
      </c>
    </row>
    <row r="240" hidden="1" spans="1:17">
      <c r="A240" s="47" t="s">
        <v>17</v>
      </c>
      <c r="B240" s="48" t="s">
        <v>18</v>
      </c>
      <c r="C240" s="47">
        <v>222793</v>
      </c>
      <c r="D240" s="47" t="s">
        <v>287</v>
      </c>
      <c r="E240" s="47" t="s">
        <v>20</v>
      </c>
      <c r="F240" s="49" t="s">
        <v>588</v>
      </c>
      <c r="G240" s="47" t="s">
        <v>589</v>
      </c>
      <c r="H240" s="47" t="s">
        <v>134</v>
      </c>
      <c r="I240" s="47" t="s">
        <v>135</v>
      </c>
      <c r="J240" s="47" t="s">
        <v>45</v>
      </c>
      <c r="K240" s="51">
        <v>10843373.49</v>
      </c>
      <c r="L240" s="47" t="s">
        <v>26</v>
      </c>
      <c r="M240" s="52">
        <f t="shared" si="4"/>
        <v>10843373.49</v>
      </c>
      <c r="N240" s="53">
        <v>0.17</v>
      </c>
      <c r="O240" s="47" t="s">
        <v>583</v>
      </c>
      <c r="P240" s="47" t="s">
        <v>189</v>
      </c>
      <c r="Q240" s="47" t="s">
        <v>259</v>
      </c>
    </row>
    <row r="241" hidden="1" spans="1:17">
      <c r="A241" s="47" t="s">
        <v>17</v>
      </c>
      <c r="B241" s="48" t="s">
        <v>18</v>
      </c>
      <c r="C241" s="47">
        <v>222797</v>
      </c>
      <c r="D241" s="47" t="s">
        <v>287</v>
      </c>
      <c r="E241" s="47" t="s">
        <v>20</v>
      </c>
      <c r="F241" s="49" t="s">
        <v>365</v>
      </c>
      <c r="G241" s="47" t="s">
        <v>590</v>
      </c>
      <c r="H241" s="47" t="s">
        <v>163</v>
      </c>
      <c r="I241" s="47" t="s">
        <v>135</v>
      </c>
      <c r="J241" s="47" t="s">
        <v>45</v>
      </c>
      <c r="K241" s="51">
        <v>2375000</v>
      </c>
      <c r="L241" s="47" t="s">
        <v>26</v>
      </c>
      <c r="M241" s="52">
        <f t="shared" si="4"/>
        <v>2375000</v>
      </c>
      <c r="N241" s="53">
        <v>0.2</v>
      </c>
      <c r="O241" s="47" t="s">
        <v>583</v>
      </c>
      <c r="P241" s="47" t="s">
        <v>189</v>
      </c>
      <c r="Q241" s="47" t="s">
        <v>259</v>
      </c>
    </row>
    <row r="242" hidden="1" spans="1:17">
      <c r="A242" s="47" t="s">
        <v>17</v>
      </c>
      <c r="B242" s="48" t="s">
        <v>18</v>
      </c>
      <c r="C242" s="47">
        <v>222794</v>
      </c>
      <c r="D242" s="47" t="s">
        <v>287</v>
      </c>
      <c r="E242" s="47" t="s">
        <v>20</v>
      </c>
      <c r="F242" s="49" t="s">
        <v>588</v>
      </c>
      <c r="G242" s="47" t="s">
        <v>591</v>
      </c>
      <c r="H242" s="47" t="s">
        <v>163</v>
      </c>
      <c r="I242" s="47" t="s">
        <v>135</v>
      </c>
      <c r="J242" s="47" t="s">
        <v>45</v>
      </c>
      <c r="K242" s="51">
        <v>5421686.75</v>
      </c>
      <c r="L242" s="47" t="s">
        <v>26</v>
      </c>
      <c r="M242" s="52">
        <f t="shared" si="4"/>
        <v>5421686.75</v>
      </c>
      <c r="N242" s="53">
        <v>0.17</v>
      </c>
      <c r="O242" s="47" t="s">
        <v>583</v>
      </c>
      <c r="P242" s="47" t="s">
        <v>189</v>
      </c>
      <c r="Q242" s="47" t="s">
        <v>33</v>
      </c>
    </row>
    <row r="243" hidden="1" spans="1:17">
      <c r="A243" s="47" t="s">
        <v>17</v>
      </c>
      <c r="B243" s="48" t="s">
        <v>18</v>
      </c>
      <c r="C243" s="47">
        <v>222796</v>
      </c>
      <c r="D243" s="47" t="s">
        <v>287</v>
      </c>
      <c r="E243" s="47" t="s">
        <v>20</v>
      </c>
      <c r="F243" s="49" t="s">
        <v>592</v>
      </c>
      <c r="G243" s="47" t="s">
        <v>593</v>
      </c>
      <c r="H243" s="47" t="s">
        <v>134</v>
      </c>
      <c r="I243" s="47" t="s">
        <v>135</v>
      </c>
      <c r="J243" s="47" t="s">
        <v>45</v>
      </c>
      <c r="K243" s="51">
        <v>2470588.24</v>
      </c>
      <c r="L243" s="47" t="s">
        <v>26</v>
      </c>
      <c r="M243" s="52">
        <f t="shared" si="4"/>
        <v>2470588.24</v>
      </c>
      <c r="N243" s="53">
        <v>0.15</v>
      </c>
      <c r="O243" s="47" t="s">
        <v>583</v>
      </c>
      <c r="P243" s="47" t="s">
        <v>189</v>
      </c>
      <c r="Q243" s="47" t="s">
        <v>259</v>
      </c>
    </row>
    <row r="244" hidden="1" spans="1:17">
      <c r="A244" s="47" t="s">
        <v>17</v>
      </c>
      <c r="B244" s="48" t="s">
        <v>68</v>
      </c>
      <c r="C244" s="47">
        <v>223241</v>
      </c>
      <c r="D244" s="47" t="s">
        <v>69</v>
      </c>
      <c r="E244" s="47" t="s">
        <v>70</v>
      </c>
      <c r="F244" s="49" t="s">
        <v>71</v>
      </c>
      <c r="G244" s="47" t="s">
        <v>594</v>
      </c>
      <c r="H244" s="47" t="s">
        <v>163</v>
      </c>
      <c r="I244" s="47" t="s">
        <v>135</v>
      </c>
      <c r="J244" s="47" t="s">
        <v>25</v>
      </c>
      <c r="K244" s="51">
        <v>1199999.99996553</v>
      </c>
      <c r="L244" s="47" t="s">
        <v>26</v>
      </c>
      <c r="M244" s="52">
        <f t="shared" si="4"/>
        <v>1199999.99996553</v>
      </c>
      <c r="N244" s="53">
        <v>0.125</v>
      </c>
      <c r="O244" s="47" t="s">
        <v>583</v>
      </c>
      <c r="P244" s="47" t="s">
        <v>47</v>
      </c>
      <c r="Q244" s="47" t="s">
        <v>33</v>
      </c>
    </row>
    <row r="245" hidden="1" spans="1:17">
      <c r="A245" s="47" t="s">
        <v>17</v>
      </c>
      <c r="B245" s="48" t="s">
        <v>68</v>
      </c>
      <c r="C245" s="47">
        <v>223244</v>
      </c>
      <c r="D245" s="47" t="s">
        <v>69</v>
      </c>
      <c r="E245" s="47" t="s">
        <v>70</v>
      </c>
      <c r="F245" s="49" t="s">
        <v>584</v>
      </c>
      <c r="G245" s="47" t="s">
        <v>595</v>
      </c>
      <c r="H245" s="47" t="s">
        <v>125</v>
      </c>
      <c r="I245" s="47" t="s">
        <v>135</v>
      </c>
      <c r="J245" s="47" t="s">
        <v>25</v>
      </c>
      <c r="K245" s="51">
        <v>2500000</v>
      </c>
      <c r="L245" s="47" t="s">
        <v>26</v>
      </c>
      <c r="M245" s="52">
        <f t="shared" si="4"/>
        <v>2500000</v>
      </c>
      <c r="N245" s="53">
        <v>0.12</v>
      </c>
      <c r="O245" s="47" t="s">
        <v>583</v>
      </c>
      <c r="P245" s="47" t="s">
        <v>47</v>
      </c>
      <c r="Q245" s="47" t="s">
        <v>209</v>
      </c>
    </row>
    <row r="246" hidden="1" spans="1:17">
      <c r="A246" s="47" t="s">
        <v>17</v>
      </c>
      <c r="B246" s="48" t="s">
        <v>68</v>
      </c>
      <c r="C246" s="47">
        <v>223445</v>
      </c>
      <c r="D246" s="47" t="s">
        <v>69</v>
      </c>
      <c r="E246" s="47" t="s">
        <v>70</v>
      </c>
      <c r="F246" s="49" t="s">
        <v>584</v>
      </c>
      <c r="G246" s="47" t="s">
        <v>596</v>
      </c>
      <c r="H246" s="47" t="s">
        <v>125</v>
      </c>
      <c r="I246" s="47" t="s">
        <v>135</v>
      </c>
      <c r="J246" s="47" t="s">
        <v>25</v>
      </c>
      <c r="K246" s="51">
        <v>8800000</v>
      </c>
      <c r="L246" s="47" t="s">
        <v>26</v>
      </c>
      <c r="M246" s="52">
        <f t="shared" si="4"/>
        <v>8800000</v>
      </c>
      <c r="N246" s="53">
        <v>0.12</v>
      </c>
      <c r="O246" s="47" t="s">
        <v>583</v>
      </c>
      <c r="P246" s="47" t="s">
        <v>191</v>
      </c>
      <c r="Q246" s="47" t="s">
        <v>33</v>
      </c>
    </row>
    <row r="247" hidden="1" spans="1:17">
      <c r="A247" s="47" t="s">
        <v>17</v>
      </c>
      <c r="B247" s="48" t="s">
        <v>68</v>
      </c>
      <c r="C247" s="47">
        <v>223447</v>
      </c>
      <c r="D247" s="47" t="s">
        <v>69</v>
      </c>
      <c r="E247" s="47" t="s">
        <v>70</v>
      </c>
      <c r="F247" s="49" t="s">
        <v>83</v>
      </c>
      <c r="G247" s="47" t="s">
        <v>597</v>
      </c>
      <c r="H247" s="47" t="s">
        <v>125</v>
      </c>
      <c r="I247" s="47" t="s">
        <v>135</v>
      </c>
      <c r="J247" s="47" t="s">
        <v>73</v>
      </c>
      <c r="K247" s="51">
        <v>1600000</v>
      </c>
      <c r="L247" s="47" t="s">
        <v>26</v>
      </c>
      <c r="M247" s="52">
        <f t="shared" si="4"/>
        <v>1600000</v>
      </c>
      <c r="N247" s="53">
        <v>0.125</v>
      </c>
      <c r="O247" s="47" t="s">
        <v>583</v>
      </c>
      <c r="P247" s="47" t="s">
        <v>191</v>
      </c>
      <c r="Q247" s="47" t="s">
        <v>33</v>
      </c>
    </row>
    <row r="248" hidden="1" spans="1:17">
      <c r="A248" s="47" t="s">
        <v>17</v>
      </c>
      <c r="B248" s="48" t="s">
        <v>68</v>
      </c>
      <c r="C248" s="47">
        <v>223719</v>
      </c>
      <c r="D248" s="47" t="s">
        <v>69</v>
      </c>
      <c r="E248" s="47" t="s">
        <v>70</v>
      </c>
      <c r="F248" s="49" t="s">
        <v>83</v>
      </c>
      <c r="G248" s="47" t="s">
        <v>598</v>
      </c>
      <c r="H248" s="47" t="s">
        <v>163</v>
      </c>
      <c r="I248" s="47" t="s">
        <v>135</v>
      </c>
      <c r="J248" s="47" t="s">
        <v>73</v>
      </c>
      <c r="K248" s="51">
        <v>1424999.99992875</v>
      </c>
      <c r="L248" s="47" t="s">
        <v>26</v>
      </c>
      <c r="M248" s="52">
        <f t="shared" si="4"/>
        <v>1424999.99992875</v>
      </c>
      <c r="N248" s="53">
        <v>0.12281</v>
      </c>
      <c r="O248" s="47" t="s">
        <v>583</v>
      </c>
      <c r="P248" s="47" t="s">
        <v>76</v>
      </c>
      <c r="Q248" s="47" t="s">
        <v>209</v>
      </c>
    </row>
    <row r="249" hidden="1" spans="1:17">
      <c r="A249" s="47" t="s">
        <v>17</v>
      </c>
      <c r="B249" s="48" t="s">
        <v>34</v>
      </c>
      <c r="C249" s="47">
        <v>220821</v>
      </c>
      <c r="D249" s="47" t="s">
        <v>48</v>
      </c>
      <c r="E249" s="47" t="s">
        <v>49</v>
      </c>
      <c r="F249" s="49" t="s">
        <v>599</v>
      </c>
      <c r="G249" s="47" t="s">
        <v>600</v>
      </c>
      <c r="H249" s="47" t="s">
        <v>163</v>
      </c>
      <c r="I249" s="47" t="s">
        <v>135</v>
      </c>
      <c r="J249" s="47" t="s">
        <v>25</v>
      </c>
      <c r="K249" s="51">
        <v>17045454.55</v>
      </c>
      <c r="L249" s="47" t="s">
        <v>26</v>
      </c>
      <c r="M249" s="52">
        <f t="shared" si="4"/>
        <v>17045454.55</v>
      </c>
      <c r="N249" s="53">
        <v>0.12</v>
      </c>
      <c r="O249" s="47" t="s">
        <v>601</v>
      </c>
      <c r="P249" s="47" t="s">
        <v>77</v>
      </c>
      <c r="Q249" s="47" t="s">
        <v>29</v>
      </c>
    </row>
    <row r="250" hidden="1" spans="1:17">
      <c r="A250" s="47" t="s">
        <v>17</v>
      </c>
      <c r="B250" s="48" t="s">
        <v>103</v>
      </c>
      <c r="C250" s="47">
        <v>221866</v>
      </c>
      <c r="D250" s="47" t="s">
        <v>435</v>
      </c>
      <c r="E250" s="47" t="s">
        <v>105</v>
      </c>
      <c r="F250" s="49" t="s">
        <v>499</v>
      </c>
      <c r="G250" s="47" t="s">
        <v>602</v>
      </c>
      <c r="H250" s="47" t="s">
        <v>134</v>
      </c>
      <c r="I250" s="47" t="s">
        <v>135</v>
      </c>
      <c r="J250" s="47" t="s">
        <v>25</v>
      </c>
      <c r="K250" s="51">
        <v>4500000</v>
      </c>
      <c r="L250" s="47" t="s">
        <v>26</v>
      </c>
      <c r="M250" s="52">
        <f t="shared" si="4"/>
        <v>4500000</v>
      </c>
      <c r="N250" s="53">
        <v>0.1</v>
      </c>
      <c r="O250" s="47" t="s">
        <v>603</v>
      </c>
      <c r="P250" s="47" t="s">
        <v>367</v>
      </c>
      <c r="Q250" s="47" t="s">
        <v>209</v>
      </c>
    </row>
    <row r="251" hidden="1" spans="1:17">
      <c r="A251" s="47" t="s">
        <v>17</v>
      </c>
      <c r="B251" s="48" t="s">
        <v>18</v>
      </c>
      <c r="C251" s="47">
        <v>220722</v>
      </c>
      <c r="D251" s="47" t="s">
        <v>146</v>
      </c>
      <c r="E251" s="47" t="s">
        <v>20</v>
      </c>
      <c r="F251" s="49" t="s">
        <v>382</v>
      </c>
      <c r="G251" s="47" t="s">
        <v>604</v>
      </c>
      <c r="H251" s="47" t="s">
        <v>134</v>
      </c>
      <c r="I251" s="47" t="s">
        <v>135</v>
      </c>
      <c r="J251" s="47" t="s">
        <v>25</v>
      </c>
      <c r="K251" s="51">
        <v>2500000</v>
      </c>
      <c r="L251" s="47" t="s">
        <v>26</v>
      </c>
      <c r="M251" s="52">
        <f t="shared" si="4"/>
        <v>2500000</v>
      </c>
      <c r="N251" s="54"/>
      <c r="O251" s="47" t="s">
        <v>605</v>
      </c>
      <c r="P251" s="47" t="s">
        <v>219</v>
      </c>
      <c r="Q251" s="47" t="s">
        <v>29</v>
      </c>
    </row>
    <row r="252" hidden="1" spans="1:17">
      <c r="A252" s="47" t="s">
        <v>17</v>
      </c>
      <c r="B252" s="48" t="s">
        <v>18</v>
      </c>
      <c r="C252" s="47">
        <v>220690</v>
      </c>
      <c r="D252" s="47" t="s">
        <v>146</v>
      </c>
      <c r="E252" s="47" t="s">
        <v>20</v>
      </c>
      <c r="F252" s="49" t="s">
        <v>606</v>
      </c>
      <c r="G252" s="47" t="s">
        <v>607</v>
      </c>
      <c r="H252" s="47" t="s">
        <v>163</v>
      </c>
      <c r="I252" s="47" t="s">
        <v>135</v>
      </c>
      <c r="J252" s="47" t="s">
        <v>25</v>
      </c>
      <c r="K252" s="51">
        <v>2500000</v>
      </c>
      <c r="L252" s="47" t="s">
        <v>26</v>
      </c>
      <c r="M252" s="52">
        <f t="shared" si="4"/>
        <v>2500000</v>
      </c>
      <c r="N252" s="54"/>
      <c r="O252" s="47" t="s">
        <v>608</v>
      </c>
      <c r="P252" s="47" t="s">
        <v>240</v>
      </c>
      <c r="Q252" s="47" t="s">
        <v>29</v>
      </c>
    </row>
    <row r="253" hidden="1" spans="1:17">
      <c r="A253" s="47" t="s">
        <v>17</v>
      </c>
      <c r="B253" s="48" t="s">
        <v>18</v>
      </c>
      <c r="C253" s="47">
        <v>220691</v>
      </c>
      <c r="D253" s="47" t="s">
        <v>146</v>
      </c>
      <c r="E253" s="47" t="s">
        <v>20</v>
      </c>
      <c r="F253" s="49" t="s">
        <v>609</v>
      </c>
      <c r="G253" s="47" t="s">
        <v>610</v>
      </c>
      <c r="H253" s="47" t="s">
        <v>134</v>
      </c>
      <c r="I253" s="47" t="s">
        <v>135</v>
      </c>
      <c r="J253" s="47" t="s">
        <v>62</v>
      </c>
      <c r="K253" s="51">
        <v>2000000</v>
      </c>
      <c r="L253" s="47" t="s">
        <v>26</v>
      </c>
      <c r="M253" s="52">
        <f t="shared" si="4"/>
        <v>2000000</v>
      </c>
      <c r="N253" s="54"/>
      <c r="O253" s="47" t="s">
        <v>608</v>
      </c>
      <c r="P253" s="47" t="s">
        <v>240</v>
      </c>
      <c r="Q253" s="47" t="s">
        <v>29</v>
      </c>
    </row>
    <row r="254" hidden="1" spans="1:17">
      <c r="A254" s="47" t="s">
        <v>17</v>
      </c>
      <c r="B254" s="48" t="s">
        <v>18</v>
      </c>
      <c r="C254" s="47">
        <v>220701</v>
      </c>
      <c r="D254" s="47" t="s">
        <v>146</v>
      </c>
      <c r="E254" s="47" t="s">
        <v>20</v>
      </c>
      <c r="F254" s="49" t="s">
        <v>459</v>
      </c>
      <c r="G254" s="47" t="s">
        <v>611</v>
      </c>
      <c r="H254" s="47" t="s">
        <v>134</v>
      </c>
      <c r="I254" s="47" t="s">
        <v>135</v>
      </c>
      <c r="J254" s="47" t="s">
        <v>25</v>
      </c>
      <c r="K254" s="51">
        <v>3000000</v>
      </c>
      <c r="L254" s="47" t="s">
        <v>26</v>
      </c>
      <c r="M254" s="52">
        <f t="shared" si="4"/>
        <v>3000000</v>
      </c>
      <c r="N254" s="54"/>
      <c r="O254" s="47" t="s">
        <v>608</v>
      </c>
      <c r="P254" s="47" t="s">
        <v>219</v>
      </c>
      <c r="Q254" s="47" t="s">
        <v>33</v>
      </c>
    </row>
    <row r="255" hidden="1" spans="1:17">
      <c r="A255" s="47" t="s">
        <v>17</v>
      </c>
      <c r="B255" s="48" t="s">
        <v>103</v>
      </c>
      <c r="C255" s="47">
        <v>220885</v>
      </c>
      <c r="D255" s="47" t="s">
        <v>160</v>
      </c>
      <c r="E255" s="47" t="s">
        <v>117</v>
      </c>
      <c r="F255" s="49" t="s">
        <v>612</v>
      </c>
      <c r="G255" s="47" t="s">
        <v>613</v>
      </c>
      <c r="H255" s="47" t="s">
        <v>163</v>
      </c>
      <c r="I255" s="47" t="s">
        <v>135</v>
      </c>
      <c r="J255" s="47" t="s">
        <v>25</v>
      </c>
      <c r="K255" s="51">
        <v>2588235.29</v>
      </c>
      <c r="L255" s="47" t="s">
        <v>26</v>
      </c>
      <c r="M255" s="52">
        <f t="shared" si="4"/>
        <v>2588235.29</v>
      </c>
      <c r="N255" s="53">
        <v>0.15</v>
      </c>
      <c r="O255" s="47" t="s">
        <v>608</v>
      </c>
      <c r="P255" s="47" t="s">
        <v>292</v>
      </c>
      <c r="Q255" s="47" t="s">
        <v>209</v>
      </c>
    </row>
    <row r="256" hidden="1" spans="1:17">
      <c r="A256" s="47" t="s">
        <v>17</v>
      </c>
      <c r="B256" s="48" t="s">
        <v>103</v>
      </c>
      <c r="C256" s="47">
        <v>221320</v>
      </c>
      <c r="D256" s="47" t="s">
        <v>389</v>
      </c>
      <c r="E256" s="47" t="s">
        <v>105</v>
      </c>
      <c r="F256" s="49" t="s">
        <v>614</v>
      </c>
      <c r="G256" s="47" t="s">
        <v>615</v>
      </c>
      <c r="H256" s="47" t="s">
        <v>125</v>
      </c>
      <c r="I256" s="47" t="s">
        <v>135</v>
      </c>
      <c r="J256" s="47" t="s">
        <v>25</v>
      </c>
      <c r="K256" s="51">
        <v>8000000</v>
      </c>
      <c r="L256" s="47" t="s">
        <v>26</v>
      </c>
      <c r="M256" s="52">
        <f t="shared" si="4"/>
        <v>8000000</v>
      </c>
      <c r="N256" s="53">
        <v>0.15</v>
      </c>
      <c r="O256" s="47" t="s">
        <v>608</v>
      </c>
      <c r="P256" s="47" t="s">
        <v>155</v>
      </c>
      <c r="Q256" s="47" t="s">
        <v>259</v>
      </c>
    </row>
    <row r="257" hidden="1" spans="1:17">
      <c r="A257" s="47" t="s">
        <v>17</v>
      </c>
      <c r="B257" s="48" t="s">
        <v>34</v>
      </c>
      <c r="C257" s="47">
        <v>222410</v>
      </c>
      <c r="D257" s="47" t="s">
        <v>252</v>
      </c>
      <c r="E257" s="47" t="s">
        <v>36</v>
      </c>
      <c r="F257" s="49" t="s">
        <v>616</v>
      </c>
      <c r="G257" s="47" t="s">
        <v>617</v>
      </c>
      <c r="H257" s="47" t="s">
        <v>134</v>
      </c>
      <c r="I257" s="47" t="s">
        <v>135</v>
      </c>
      <c r="J257" s="47" t="s">
        <v>45</v>
      </c>
      <c r="K257" s="51">
        <v>2500000</v>
      </c>
      <c r="L257" s="47" t="s">
        <v>26</v>
      </c>
      <c r="M257" s="52">
        <f t="shared" si="4"/>
        <v>2500000</v>
      </c>
      <c r="N257" s="53">
        <v>0.2</v>
      </c>
      <c r="O257" s="47" t="s">
        <v>608</v>
      </c>
      <c r="P257" s="47" t="s">
        <v>618</v>
      </c>
      <c r="Q257" s="47" t="s">
        <v>100</v>
      </c>
    </row>
    <row r="258" hidden="1" spans="1:17">
      <c r="A258" s="47" t="s">
        <v>17</v>
      </c>
      <c r="B258" s="48" t="s">
        <v>18</v>
      </c>
      <c r="C258" s="47">
        <v>222520</v>
      </c>
      <c r="D258" s="47" t="s">
        <v>146</v>
      </c>
      <c r="E258" s="47" t="s">
        <v>20</v>
      </c>
      <c r="F258" s="49" t="s">
        <v>619</v>
      </c>
      <c r="G258" s="47" t="s">
        <v>620</v>
      </c>
      <c r="H258" s="47" t="s">
        <v>134</v>
      </c>
      <c r="I258" s="47" t="s">
        <v>135</v>
      </c>
      <c r="J258" s="47" t="s">
        <v>25</v>
      </c>
      <c r="K258" s="51">
        <v>3500000</v>
      </c>
      <c r="L258" s="47" t="s">
        <v>26</v>
      </c>
      <c r="M258" s="52">
        <f t="shared" si="4"/>
        <v>3500000</v>
      </c>
      <c r="N258" s="54"/>
      <c r="O258" s="47" t="s">
        <v>608</v>
      </c>
      <c r="P258" s="47" t="s">
        <v>180</v>
      </c>
      <c r="Q258" s="47" t="s">
        <v>29</v>
      </c>
    </row>
    <row r="259" hidden="1" spans="1:17">
      <c r="A259" s="47" t="s">
        <v>17</v>
      </c>
      <c r="B259" s="48" t="s">
        <v>34</v>
      </c>
      <c r="C259" s="47">
        <v>221310</v>
      </c>
      <c r="D259" s="47" t="s">
        <v>621</v>
      </c>
      <c r="E259" s="47" t="s">
        <v>49</v>
      </c>
      <c r="F259" s="49" t="s">
        <v>622</v>
      </c>
      <c r="G259" s="47" t="s">
        <v>623</v>
      </c>
      <c r="H259" s="47" t="s">
        <v>134</v>
      </c>
      <c r="I259" s="47" t="s">
        <v>135</v>
      </c>
      <c r="J259" s="47" t="s">
        <v>25</v>
      </c>
      <c r="K259" s="51">
        <v>120000000</v>
      </c>
      <c r="L259" s="47" t="s">
        <v>26</v>
      </c>
      <c r="M259" s="52">
        <f t="shared" si="4"/>
        <v>120000000</v>
      </c>
      <c r="N259" s="53">
        <v>0</v>
      </c>
      <c r="O259" s="47" t="s">
        <v>624</v>
      </c>
      <c r="P259" s="47" t="s">
        <v>155</v>
      </c>
      <c r="Q259" s="47" t="s">
        <v>33</v>
      </c>
    </row>
    <row r="260" hidden="1" spans="1:17">
      <c r="A260" s="47" t="s">
        <v>17</v>
      </c>
      <c r="B260" s="48" t="s">
        <v>103</v>
      </c>
      <c r="C260" s="47">
        <v>221831</v>
      </c>
      <c r="D260" s="47" t="s">
        <v>389</v>
      </c>
      <c r="E260" s="47" t="s">
        <v>105</v>
      </c>
      <c r="F260" s="49" t="s">
        <v>625</v>
      </c>
      <c r="G260" s="47" t="s">
        <v>626</v>
      </c>
      <c r="H260" s="47" t="s">
        <v>125</v>
      </c>
      <c r="I260" s="47" t="s">
        <v>135</v>
      </c>
      <c r="J260" s="47" t="s">
        <v>25</v>
      </c>
      <c r="K260" s="51">
        <v>8999999.99965385</v>
      </c>
      <c r="L260" s="47" t="s">
        <v>26</v>
      </c>
      <c r="M260" s="52">
        <f t="shared" si="4"/>
        <v>8999999.99965385</v>
      </c>
      <c r="N260" s="53">
        <v>0.13333</v>
      </c>
      <c r="O260" s="47" t="s">
        <v>624</v>
      </c>
      <c r="P260" s="47" t="s">
        <v>367</v>
      </c>
      <c r="Q260" s="47" t="s">
        <v>33</v>
      </c>
    </row>
    <row r="261" hidden="1" spans="1:17">
      <c r="A261" s="48" t="s">
        <v>17</v>
      </c>
      <c r="B261" s="47" t="s">
        <v>241</v>
      </c>
      <c r="C261" s="47">
        <v>203730</v>
      </c>
      <c r="D261" s="47" t="s">
        <v>160</v>
      </c>
      <c r="E261" s="47" t="s">
        <v>117</v>
      </c>
      <c r="F261" s="49" t="s">
        <v>161</v>
      </c>
      <c r="G261" s="47" t="s">
        <v>627</v>
      </c>
      <c r="H261" s="47" t="s">
        <v>125</v>
      </c>
      <c r="I261" s="47" t="s">
        <v>135</v>
      </c>
      <c r="J261" s="47" t="s">
        <v>25</v>
      </c>
      <c r="K261" s="51">
        <v>20250000</v>
      </c>
      <c r="L261" s="47" t="s">
        <v>26</v>
      </c>
      <c r="M261" s="52">
        <f t="shared" si="4"/>
        <v>20250000</v>
      </c>
      <c r="N261" s="53">
        <v>0.2</v>
      </c>
      <c r="O261" s="47" t="s">
        <v>628</v>
      </c>
      <c r="P261" s="47" t="s">
        <v>629</v>
      </c>
      <c r="Q261" s="47" t="s">
        <v>100</v>
      </c>
    </row>
    <row r="262" hidden="1" spans="1:17">
      <c r="A262" s="47" t="s">
        <v>17</v>
      </c>
      <c r="B262" s="48" t="s">
        <v>40</v>
      </c>
      <c r="C262" s="47">
        <v>216477</v>
      </c>
      <c r="D262" s="47" t="s">
        <v>210</v>
      </c>
      <c r="E262" s="47" t="s">
        <v>42</v>
      </c>
      <c r="F262" s="49" t="s">
        <v>630</v>
      </c>
      <c r="G262" s="47" t="s">
        <v>631</v>
      </c>
      <c r="H262" s="47" t="s">
        <v>134</v>
      </c>
      <c r="I262" s="47" t="s">
        <v>135</v>
      </c>
      <c r="J262" s="47" t="s">
        <v>45</v>
      </c>
      <c r="K262" s="51">
        <v>20000000</v>
      </c>
      <c r="L262" s="47" t="s">
        <v>26</v>
      </c>
      <c r="M262" s="52">
        <f t="shared" si="4"/>
        <v>20000000</v>
      </c>
      <c r="N262" s="53">
        <v>0.25</v>
      </c>
      <c r="O262" s="47" t="s">
        <v>628</v>
      </c>
      <c r="P262" s="47" t="s">
        <v>270</v>
      </c>
      <c r="Q262" s="47" t="s">
        <v>209</v>
      </c>
    </row>
    <row r="263" hidden="1" spans="1:17">
      <c r="A263" s="47" t="s">
        <v>17</v>
      </c>
      <c r="B263" s="48" t="s">
        <v>68</v>
      </c>
      <c r="C263" s="47">
        <v>220024</v>
      </c>
      <c r="D263" s="47" t="s">
        <v>632</v>
      </c>
      <c r="E263" s="47" t="s">
        <v>70</v>
      </c>
      <c r="F263" s="49" t="s">
        <v>633</v>
      </c>
      <c r="G263" s="47" t="s">
        <v>634</v>
      </c>
      <c r="H263" s="47" t="s">
        <v>163</v>
      </c>
      <c r="I263" s="47" t="s">
        <v>135</v>
      </c>
      <c r="J263" s="47" t="s">
        <v>25</v>
      </c>
      <c r="K263" s="51">
        <v>80000000</v>
      </c>
      <c r="L263" s="47" t="s">
        <v>26</v>
      </c>
      <c r="M263" s="52">
        <f t="shared" si="4"/>
        <v>80000000</v>
      </c>
      <c r="N263" s="53">
        <v>0.125</v>
      </c>
      <c r="O263" s="47" t="s">
        <v>628</v>
      </c>
      <c r="P263" s="47" t="s">
        <v>203</v>
      </c>
      <c r="Q263" s="47" t="s">
        <v>29</v>
      </c>
    </row>
    <row r="264" hidden="1" spans="1:17">
      <c r="A264" s="47" t="s">
        <v>17</v>
      </c>
      <c r="B264" s="48" t="s">
        <v>103</v>
      </c>
      <c r="C264" s="47">
        <v>220364</v>
      </c>
      <c r="D264" s="47" t="s">
        <v>140</v>
      </c>
      <c r="E264" s="47" t="s">
        <v>117</v>
      </c>
      <c r="F264" s="49" t="s">
        <v>635</v>
      </c>
      <c r="G264" s="47" t="s">
        <v>636</v>
      </c>
      <c r="H264" s="47" t="s">
        <v>149</v>
      </c>
      <c r="I264" s="47" t="s">
        <v>126</v>
      </c>
      <c r="J264" s="47" t="s">
        <v>45</v>
      </c>
      <c r="K264" s="51">
        <v>8034999.99993859</v>
      </c>
      <c r="L264" s="47" t="s">
        <v>26</v>
      </c>
      <c r="M264" s="52">
        <f t="shared" si="4"/>
        <v>8034999.99993859</v>
      </c>
      <c r="N264" s="53">
        <v>0.12881</v>
      </c>
      <c r="O264" s="47" t="s">
        <v>628</v>
      </c>
      <c r="P264" s="47" t="s">
        <v>32</v>
      </c>
      <c r="Q264" s="47" t="s">
        <v>259</v>
      </c>
    </row>
    <row r="265" hidden="1" spans="1:17">
      <c r="A265" s="47" t="s">
        <v>17</v>
      </c>
      <c r="B265" s="48" t="s">
        <v>68</v>
      </c>
      <c r="C265" s="47">
        <v>220501</v>
      </c>
      <c r="D265" s="47" t="s">
        <v>281</v>
      </c>
      <c r="E265" s="47" t="s">
        <v>70</v>
      </c>
      <c r="F265" s="49" t="s">
        <v>492</v>
      </c>
      <c r="G265" s="47" t="s">
        <v>637</v>
      </c>
      <c r="H265" s="47" t="s">
        <v>134</v>
      </c>
      <c r="I265" s="47" t="s">
        <v>135</v>
      </c>
      <c r="J265" s="47" t="s">
        <v>25</v>
      </c>
      <c r="K265" s="51">
        <v>35211267.61</v>
      </c>
      <c r="L265" s="47" t="s">
        <v>26</v>
      </c>
      <c r="M265" s="52">
        <f t="shared" si="4"/>
        <v>35211267.61</v>
      </c>
      <c r="N265" s="53">
        <v>0.29</v>
      </c>
      <c r="O265" s="47" t="s">
        <v>628</v>
      </c>
      <c r="P265" s="47" t="s">
        <v>170</v>
      </c>
      <c r="Q265" s="47" t="s">
        <v>100</v>
      </c>
    </row>
    <row r="266" hidden="1" spans="1:17">
      <c r="A266" s="47" t="s">
        <v>17</v>
      </c>
      <c r="B266" s="48" t="s">
        <v>18</v>
      </c>
      <c r="C266" s="47">
        <v>220703</v>
      </c>
      <c r="D266" s="47" t="s">
        <v>146</v>
      </c>
      <c r="E266" s="47" t="s">
        <v>20</v>
      </c>
      <c r="F266" s="49" t="s">
        <v>606</v>
      </c>
      <c r="G266" s="47" t="s">
        <v>638</v>
      </c>
      <c r="H266" s="47" t="s">
        <v>163</v>
      </c>
      <c r="I266" s="47" t="s">
        <v>135</v>
      </c>
      <c r="J266" s="47" t="s">
        <v>25</v>
      </c>
      <c r="K266" s="51">
        <v>2500000</v>
      </c>
      <c r="L266" s="47" t="s">
        <v>26</v>
      </c>
      <c r="M266" s="52">
        <f t="shared" si="4"/>
        <v>2500000</v>
      </c>
      <c r="N266" s="54"/>
      <c r="O266" s="47" t="s">
        <v>628</v>
      </c>
      <c r="P266" s="47" t="s">
        <v>219</v>
      </c>
      <c r="Q266" s="47" t="s">
        <v>29</v>
      </c>
    </row>
    <row r="267" hidden="1" spans="1:17">
      <c r="A267" s="47" t="s">
        <v>17</v>
      </c>
      <c r="B267" s="48" t="s">
        <v>18</v>
      </c>
      <c r="C267" s="47">
        <v>220805</v>
      </c>
      <c r="D267" s="47" t="s">
        <v>287</v>
      </c>
      <c r="E267" s="47" t="s">
        <v>20</v>
      </c>
      <c r="F267" s="49" t="s">
        <v>639</v>
      </c>
      <c r="G267" s="47" t="s">
        <v>640</v>
      </c>
      <c r="H267" s="47" t="s">
        <v>134</v>
      </c>
      <c r="I267" s="47" t="s">
        <v>135</v>
      </c>
      <c r="J267" s="47" t="s">
        <v>45</v>
      </c>
      <c r="K267" s="51">
        <v>10000000</v>
      </c>
      <c r="L267" s="47" t="s">
        <v>26</v>
      </c>
      <c r="M267" s="52">
        <f t="shared" si="4"/>
        <v>10000000</v>
      </c>
      <c r="N267" s="54"/>
      <c r="O267" s="47" t="s">
        <v>628</v>
      </c>
      <c r="P267" s="47" t="s">
        <v>77</v>
      </c>
      <c r="Q267" s="47" t="s">
        <v>259</v>
      </c>
    </row>
    <row r="268" hidden="1" spans="1:17">
      <c r="A268" s="47" t="s">
        <v>17</v>
      </c>
      <c r="B268" s="48" t="s">
        <v>40</v>
      </c>
      <c r="C268" s="47">
        <v>221318</v>
      </c>
      <c r="D268" s="47" t="s">
        <v>210</v>
      </c>
      <c r="E268" s="47" t="s">
        <v>42</v>
      </c>
      <c r="F268" s="49" t="s">
        <v>214</v>
      </c>
      <c r="G268" s="47" t="s">
        <v>641</v>
      </c>
      <c r="H268" s="47" t="s">
        <v>149</v>
      </c>
      <c r="I268" s="47" t="s">
        <v>126</v>
      </c>
      <c r="J268" s="47" t="s">
        <v>25</v>
      </c>
      <c r="K268" s="51">
        <v>20000000</v>
      </c>
      <c r="L268" s="47" t="s">
        <v>26</v>
      </c>
      <c r="M268" s="52">
        <f t="shared" si="4"/>
        <v>20000000</v>
      </c>
      <c r="N268" s="53">
        <v>0.6</v>
      </c>
      <c r="O268" s="47" t="s">
        <v>628</v>
      </c>
      <c r="P268" s="47" t="s">
        <v>155</v>
      </c>
      <c r="Q268" s="47" t="s">
        <v>33</v>
      </c>
    </row>
    <row r="269" hidden="1" spans="1:17">
      <c r="A269" s="47" t="s">
        <v>17</v>
      </c>
      <c r="B269" s="48" t="s">
        <v>103</v>
      </c>
      <c r="C269" s="47">
        <v>221323</v>
      </c>
      <c r="D269" s="47" t="s">
        <v>389</v>
      </c>
      <c r="E269" s="47" t="s">
        <v>105</v>
      </c>
      <c r="F269" s="49" t="s">
        <v>642</v>
      </c>
      <c r="G269" s="47" t="s">
        <v>643</v>
      </c>
      <c r="H269" s="47" t="s">
        <v>134</v>
      </c>
      <c r="I269" s="47" t="s">
        <v>135</v>
      </c>
      <c r="J269" s="47" t="s">
        <v>25</v>
      </c>
      <c r="K269" s="51">
        <v>1500000.00006</v>
      </c>
      <c r="L269" s="47" t="s">
        <v>26</v>
      </c>
      <c r="M269" s="52">
        <f t="shared" si="4"/>
        <v>1500000.00006</v>
      </c>
      <c r="N269" s="53">
        <v>0.16667</v>
      </c>
      <c r="O269" s="47" t="s">
        <v>628</v>
      </c>
      <c r="P269" s="47" t="s">
        <v>155</v>
      </c>
      <c r="Q269" s="47" t="s">
        <v>209</v>
      </c>
    </row>
    <row r="270" hidden="1" spans="1:17">
      <c r="A270" s="47" t="s">
        <v>17</v>
      </c>
      <c r="B270" s="48" t="s">
        <v>103</v>
      </c>
      <c r="C270" s="47">
        <v>222877</v>
      </c>
      <c r="D270" s="47" t="s">
        <v>326</v>
      </c>
      <c r="E270" s="47" t="s">
        <v>117</v>
      </c>
      <c r="F270" s="49" t="s">
        <v>644</v>
      </c>
      <c r="G270" s="47" t="s">
        <v>645</v>
      </c>
      <c r="H270" s="47" t="s">
        <v>125</v>
      </c>
      <c r="I270" s="47" t="s">
        <v>135</v>
      </c>
      <c r="J270" s="47" t="s">
        <v>25</v>
      </c>
      <c r="K270" s="51">
        <v>6500000.00029018</v>
      </c>
      <c r="L270" s="47" t="s">
        <v>26</v>
      </c>
      <c r="M270" s="52">
        <f t="shared" si="4"/>
        <v>6500000.00029018</v>
      </c>
      <c r="N270" s="53">
        <v>0.13846</v>
      </c>
      <c r="O270" s="47" t="s">
        <v>628</v>
      </c>
      <c r="P270" s="47" t="s">
        <v>646</v>
      </c>
      <c r="Q270" s="47" t="s">
        <v>29</v>
      </c>
    </row>
    <row r="271" hidden="1" spans="1:17">
      <c r="A271" s="47" t="s">
        <v>17</v>
      </c>
      <c r="B271" s="48" t="s">
        <v>103</v>
      </c>
      <c r="C271" s="47">
        <v>223131</v>
      </c>
      <c r="D271" s="47" t="s">
        <v>116</v>
      </c>
      <c r="E271" s="47" t="s">
        <v>117</v>
      </c>
      <c r="F271" s="49" t="s">
        <v>525</v>
      </c>
      <c r="G271" s="47" t="s">
        <v>647</v>
      </c>
      <c r="H271" s="47" t="s">
        <v>134</v>
      </c>
      <c r="I271" s="47" t="s">
        <v>135</v>
      </c>
      <c r="J271" s="47" t="s">
        <v>25</v>
      </c>
      <c r="K271" s="51">
        <v>350000000</v>
      </c>
      <c r="L271" s="47" t="s">
        <v>26</v>
      </c>
      <c r="M271" s="52">
        <f t="shared" si="4"/>
        <v>350000000</v>
      </c>
      <c r="N271" s="53">
        <v>0.15</v>
      </c>
      <c r="O271" s="47" t="s">
        <v>628</v>
      </c>
      <c r="P271" s="47" t="s">
        <v>398</v>
      </c>
      <c r="Q271" s="47" t="s">
        <v>33</v>
      </c>
    </row>
    <row r="272" hidden="1" spans="1:17">
      <c r="A272" s="47" t="s">
        <v>17</v>
      </c>
      <c r="B272" s="48" t="s">
        <v>34</v>
      </c>
      <c r="C272" s="47">
        <v>223650</v>
      </c>
      <c r="D272" s="47" t="s">
        <v>36</v>
      </c>
      <c r="E272" s="47" t="s">
        <v>49</v>
      </c>
      <c r="F272" s="49" t="s">
        <v>648</v>
      </c>
      <c r="G272" s="47" t="s">
        <v>649</v>
      </c>
      <c r="H272" s="47" t="s">
        <v>163</v>
      </c>
      <c r="I272" s="47" t="s">
        <v>135</v>
      </c>
      <c r="J272" s="47" t="s">
        <v>73</v>
      </c>
      <c r="K272" s="55">
        <v>670000</v>
      </c>
      <c r="L272" s="47" t="s">
        <v>361</v>
      </c>
      <c r="M272" s="48">
        <f>K272*89</f>
        <v>59630000</v>
      </c>
      <c r="N272" s="53">
        <v>0.14925</v>
      </c>
      <c r="O272" s="47" t="s">
        <v>628</v>
      </c>
      <c r="P272" s="47" t="s">
        <v>63</v>
      </c>
      <c r="Q272" s="47" t="s">
        <v>33</v>
      </c>
    </row>
    <row r="273" hidden="1" spans="1:17">
      <c r="A273" s="47" t="s">
        <v>17</v>
      </c>
      <c r="B273" s="48" t="s">
        <v>18</v>
      </c>
      <c r="C273" s="47">
        <v>214884</v>
      </c>
      <c r="D273" s="47" t="s">
        <v>19</v>
      </c>
      <c r="E273" s="47" t="s">
        <v>20</v>
      </c>
      <c r="F273" s="49" t="s">
        <v>156</v>
      </c>
      <c r="G273" s="47" t="s">
        <v>650</v>
      </c>
      <c r="H273" s="47" t="s">
        <v>125</v>
      </c>
      <c r="I273" s="47" t="s">
        <v>135</v>
      </c>
      <c r="J273" s="47" t="s">
        <v>25</v>
      </c>
      <c r="K273" s="51">
        <v>40000000</v>
      </c>
      <c r="L273" s="47" t="s">
        <v>26</v>
      </c>
      <c r="M273" s="52">
        <f t="shared" ref="M273:M304" si="5">K273</f>
        <v>40000000</v>
      </c>
      <c r="N273" s="53">
        <v>0.25</v>
      </c>
      <c r="O273" s="47" t="s">
        <v>651</v>
      </c>
      <c r="P273" s="47" t="s">
        <v>652</v>
      </c>
      <c r="Q273" s="47" t="s">
        <v>29</v>
      </c>
    </row>
    <row r="274" hidden="1" spans="1:17">
      <c r="A274" s="47" t="s">
        <v>17</v>
      </c>
      <c r="B274" s="48" t="s">
        <v>103</v>
      </c>
      <c r="C274" s="47">
        <v>221836</v>
      </c>
      <c r="D274" s="47" t="s">
        <v>389</v>
      </c>
      <c r="E274" s="47" t="s">
        <v>105</v>
      </c>
      <c r="F274" s="49" t="s">
        <v>653</v>
      </c>
      <c r="G274" s="47" t="s">
        <v>654</v>
      </c>
      <c r="H274" s="47" t="s">
        <v>163</v>
      </c>
      <c r="I274" s="47" t="s">
        <v>135</v>
      </c>
      <c r="J274" s="47" t="s">
        <v>25</v>
      </c>
      <c r="K274" s="51">
        <v>1000000</v>
      </c>
      <c r="L274" s="47" t="s">
        <v>26</v>
      </c>
      <c r="M274" s="52">
        <f t="shared" si="5"/>
        <v>1000000</v>
      </c>
      <c r="N274" s="53">
        <v>0.25</v>
      </c>
      <c r="O274" s="47" t="s">
        <v>651</v>
      </c>
      <c r="P274" s="47" t="s">
        <v>367</v>
      </c>
      <c r="Q274" s="47" t="s">
        <v>65</v>
      </c>
    </row>
    <row r="275" hidden="1" spans="1:17">
      <c r="A275" s="47" t="s">
        <v>17</v>
      </c>
      <c r="B275" s="48" t="s">
        <v>40</v>
      </c>
      <c r="C275" s="47">
        <v>222328</v>
      </c>
      <c r="D275" s="47" t="s">
        <v>210</v>
      </c>
      <c r="E275" s="47" t="s">
        <v>42</v>
      </c>
      <c r="F275" s="49" t="s">
        <v>473</v>
      </c>
      <c r="G275" s="47" t="s">
        <v>655</v>
      </c>
      <c r="H275" s="47" t="s">
        <v>134</v>
      </c>
      <c r="I275" s="47" t="s">
        <v>135</v>
      </c>
      <c r="J275" s="47" t="s">
        <v>25</v>
      </c>
      <c r="K275" s="51">
        <v>25000000</v>
      </c>
      <c r="L275" s="47" t="s">
        <v>26</v>
      </c>
      <c r="M275" s="52">
        <f t="shared" si="5"/>
        <v>25000000</v>
      </c>
      <c r="N275" s="53">
        <v>0.2</v>
      </c>
      <c r="O275" s="47" t="s">
        <v>651</v>
      </c>
      <c r="P275" s="47" t="s">
        <v>177</v>
      </c>
      <c r="Q275" s="47" t="s">
        <v>29</v>
      </c>
    </row>
    <row r="276" hidden="1" spans="1:17">
      <c r="A276" s="47" t="s">
        <v>17</v>
      </c>
      <c r="B276" s="48" t="s">
        <v>40</v>
      </c>
      <c r="C276" s="47">
        <v>222329</v>
      </c>
      <c r="D276" s="47" t="s">
        <v>210</v>
      </c>
      <c r="E276" s="47" t="s">
        <v>42</v>
      </c>
      <c r="F276" s="49" t="s">
        <v>473</v>
      </c>
      <c r="G276" s="47" t="s">
        <v>656</v>
      </c>
      <c r="H276" s="47" t="s">
        <v>134</v>
      </c>
      <c r="I276" s="47" t="s">
        <v>135</v>
      </c>
      <c r="J276" s="47" t="s">
        <v>25</v>
      </c>
      <c r="K276" s="51">
        <v>15000000</v>
      </c>
      <c r="L276" s="47" t="s">
        <v>26</v>
      </c>
      <c r="M276" s="52">
        <f t="shared" si="5"/>
        <v>15000000</v>
      </c>
      <c r="N276" s="53">
        <v>0.2</v>
      </c>
      <c r="O276" s="47" t="s">
        <v>651</v>
      </c>
      <c r="P276" s="47" t="s">
        <v>177</v>
      </c>
      <c r="Q276" s="47" t="s">
        <v>209</v>
      </c>
    </row>
    <row r="277" hidden="1" spans="1:17">
      <c r="A277" s="47" t="s">
        <v>17</v>
      </c>
      <c r="B277" s="48" t="s">
        <v>34</v>
      </c>
      <c r="C277" s="47">
        <v>223253</v>
      </c>
      <c r="D277" s="47" t="s">
        <v>35</v>
      </c>
      <c r="E277" s="47" t="s">
        <v>36</v>
      </c>
      <c r="F277" s="49" t="s">
        <v>395</v>
      </c>
      <c r="G277" s="47" t="s">
        <v>657</v>
      </c>
      <c r="H277" s="47" t="s">
        <v>134</v>
      </c>
      <c r="I277" s="47" t="s">
        <v>135</v>
      </c>
      <c r="J277" s="47" t="s">
        <v>25</v>
      </c>
      <c r="K277" s="51">
        <v>7000000.00035</v>
      </c>
      <c r="L277" s="47" t="s">
        <v>26</v>
      </c>
      <c r="M277" s="52">
        <f t="shared" si="5"/>
        <v>7000000.00035</v>
      </c>
      <c r="N277" s="53">
        <v>0.1428571429</v>
      </c>
      <c r="O277" s="47" t="s">
        <v>651</v>
      </c>
      <c r="P277" s="47" t="s">
        <v>47</v>
      </c>
      <c r="Q277" s="47" t="s">
        <v>33</v>
      </c>
    </row>
    <row r="278" hidden="1" spans="1:17">
      <c r="A278" s="47" t="s">
        <v>17</v>
      </c>
      <c r="B278" s="48" t="s">
        <v>103</v>
      </c>
      <c r="C278" s="47">
        <v>223744</v>
      </c>
      <c r="D278" s="47" t="s">
        <v>160</v>
      </c>
      <c r="E278" s="47" t="s">
        <v>117</v>
      </c>
      <c r="F278" s="49" t="s">
        <v>658</v>
      </c>
      <c r="G278" s="47" t="s">
        <v>659</v>
      </c>
      <c r="H278" s="47" t="s">
        <v>134</v>
      </c>
      <c r="I278" s="47" t="s">
        <v>135</v>
      </c>
      <c r="J278" s="47" t="s">
        <v>25</v>
      </c>
      <c r="K278" s="51">
        <v>4000000</v>
      </c>
      <c r="L278" s="47" t="s">
        <v>26</v>
      </c>
      <c r="M278" s="52">
        <f t="shared" si="5"/>
        <v>4000000</v>
      </c>
      <c r="N278" s="53">
        <v>0</v>
      </c>
      <c r="O278" s="47" t="s">
        <v>651</v>
      </c>
      <c r="P278" s="47" t="s">
        <v>159</v>
      </c>
      <c r="Q278" s="47" t="s">
        <v>33</v>
      </c>
    </row>
    <row r="279" hidden="1" spans="1:17">
      <c r="A279" s="47" t="s">
        <v>17</v>
      </c>
      <c r="B279" s="48" t="s">
        <v>34</v>
      </c>
      <c r="C279" s="47">
        <v>223850</v>
      </c>
      <c r="D279" s="47" t="s">
        <v>35</v>
      </c>
      <c r="E279" s="47" t="s">
        <v>36</v>
      </c>
      <c r="F279" s="49" t="s">
        <v>37</v>
      </c>
      <c r="G279" s="47" t="s">
        <v>660</v>
      </c>
      <c r="H279" s="47" t="s">
        <v>134</v>
      </c>
      <c r="I279" s="47" t="s">
        <v>135</v>
      </c>
      <c r="J279" s="47" t="s">
        <v>25</v>
      </c>
      <c r="K279" s="51">
        <v>2500000</v>
      </c>
      <c r="L279" s="47" t="s">
        <v>26</v>
      </c>
      <c r="M279" s="52">
        <f t="shared" si="5"/>
        <v>2500000</v>
      </c>
      <c r="N279" s="53">
        <v>0.2</v>
      </c>
      <c r="O279" s="47" t="s">
        <v>651</v>
      </c>
      <c r="P279" s="47" t="s">
        <v>99</v>
      </c>
      <c r="Q279" s="47" t="s">
        <v>29</v>
      </c>
    </row>
    <row r="280" hidden="1" spans="1:17">
      <c r="A280" s="48" t="s">
        <v>17</v>
      </c>
      <c r="B280" s="47" t="s">
        <v>68</v>
      </c>
      <c r="C280" s="47">
        <v>210663</v>
      </c>
      <c r="D280" s="47" t="s">
        <v>96</v>
      </c>
      <c r="E280" s="47" t="s">
        <v>70</v>
      </c>
      <c r="F280" s="49" t="s">
        <v>661</v>
      </c>
      <c r="G280" s="47" t="s">
        <v>662</v>
      </c>
      <c r="H280" s="47" t="s">
        <v>125</v>
      </c>
      <c r="I280" s="47" t="s">
        <v>126</v>
      </c>
      <c r="J280" s="47" t="s">
        <v>45</v>
      </c>
      <c r="K280" s="51">
        <v>26000000</v>
      </c>
      <c r="L280" s="47" t="s">
        <v>26</v>
      </c>
      <c r="M280" s="52">
        <f t="shared" si="5"/>
        <v>26000000</v>
      </c>
      <c r="N280" s="54"/>
      <c r="O280" s="47" t="s">
        <v>663</v>
      </c>
      <c r="P280" s="47" t="s">
        <v>664</v>
      </c>
      <c r="Q280" s="47" t="s">
        <v>29</v>
      </c>
    </row>
    <row r="281" hidden="1" spans="1:17">
      <c r="A281" s="47" t="s">
        <v>17</v>
      </c>
      <c r="B281" s="48" t="s">
        <v>103</v>
      </c>
      <c r="C281" s="47">
        <v>222262</v>
      </c>
      <c r="D281" s="47" t="s">
        <v>435</v>
      </c>
      <c r="E281" s="47" t="s">
        <v>105</v>
      </c>
      <c r="F281" s="49" t="s">
        <v>499</v>
      </c>
      <c r="G281" s="47" t="s">
        <v>665</v>
      </c>
      <c r="H281" s="47" t="s">
        <v>163</v>
      </c>
      <c r="I281" s="47" t="s">
        <v>135</v>
      </c>
      <c r="J281" s="47" t="s">
        <v>25</v>
      </c>
      <c r="K281" s="51">
        <v>937500</v>
      </c>
      <c r="L281" s="47" t="s">
        <v>26</v>
      </c>
      <c r="M281" s="52">
        <f t="shared" si="5"/>
        <v>937500</v>
      </c>
      <c r="N281" s="53">
        <v>0.2</v>
      </c>
      <c r="O281" s="47" t="s">
        <v>663</v>
      </c>
      <c r="P281" s="47" t="s">
        <v>501</v>
      </c>
      <c r="Q281" s="47" t="s">
        <v>29</v>
      </c>
    </row>
    <row r="282" hidden="1" spans="1:17">
      <c r="A282" s="47" t="s">
        <v>17</v>
      </c>
      <c r="B282" s="48" t="s">
        <v>103</v>
      </c>
      <c r="C282" s="47">
        <v>222442</v>
      </c>
      <c r="D282" s="47" t="s">
        <v>435</v>
      </c>
      <c r="E282" s="47" t="s">
        <v>105</v>
      </c>
      <c r="F282" s="49" t="s">
        <v>666</v>
      </c>
      <c r="G282" s="47" t="s">
        <v>667</v>
      </c>
      <c r="H282" s="47" t="s">
        <v>134</v>
      </c>
      <c r="I282" s="47" t="s">
        <v>135</v>
      </c>
      <c r="J282" s="47" t="s">
        <v>25</v>
      </c>
      <c r="K282" s="51">
        <v>666666.67</v>
      </c>
      <c r="L282" s="47" t="s">
        <v>26</v>
      </c>
      <c r="M282" s="52">
        <f t="shared" si="5"/>
        <v>666666.67</v>
      </c>
      <c r="N282" s="53">
        <v>0.25</v>
      </c>
      <c r="O282" s="47" t="s">
        <v>663</v>
      </c>
      <c r="P282" s="47" t="s">
        <v>618</v>
      </c>
      <c r="Q282" s="47" t="s">
        <v>33</v>
      </c>
    </row>
    <row r="283" hidden="1" spans="1:17">
      <c r="A283" s="47" t="s">
        <v>17</v>
      </c>
      <c r="B283" s="48" t="s">
        <v>34</v>
      </c>
      <c r="C283" s="47">
        <v>223204</v>
      </c>
      <c r="D283" s="47" t="s">
        <v>278</v>
      </c>
      <c r="E283" s="47" t="s">
        <v>36</v>
      </c>
      <c r="F283" s="49" t="s">
        <v>668</v>
      </c>
      <c r="G283" s="47" t="s">
        <v>669</v>
      </c>
      <c r="H283" s="47" t="s">
        <v>125</v>
      </c>
      <c r="I283" s="47" t="s">
        <v>135</v>
      </c>
      <c r="J283" s="47" t="s">
        <v>25</v>
      </c>
      <c r="K283" s="51">
        <v>2500000</v>
      </c>
      <c r="L283" s="47" t="s">
        <v>26</v>
      </c>
      <c r="M283" s="52">
        <f t="shared" si="5"/>
        <v>2500000</v>
      </c>
      <c r="N283" s="53">
        <v>0.16</v>
      </c>
      <c r="O283" s="47" t="s">
        <v>663</v>
      </c>
      <c r="P283" s="47" t="s">
        <v>401</v>
      </c>
      <c r="Q283" s="47" t="s">
        <v>33</v>
      </c>
    </row>
    <row r="284" hidden="1" spans="1:17">
      <c r="A284" s="47" t="s">
        <v>17</v>
      </c>
      <c r="B284" s="48" t="s">
        <v>103</v>
      </c>
      <c r="C284" s="47">
        <v>215031</v>
      </c>
      <c r="D284" s="47" t="s">
        <v>116</v>
      </c>
      <c r="E284" s="47" t="s">
        <v>117</v>
      </c>
      <c r="F284" s="49" t="s">
        <v>670</v>
      </c>
      <c r="G284" s="47" t="s">
        <v>671</v>
      </c>
      <c r="H284" s="47" t="s">
        <v>149</v>
      </c>
      <c r="I284" s="47" t="s">
        <v>126</v>
      </c>
      <c r="J284" s="47" t="s">
        <v>25</v>
      </c>
      <c r="K284" s="51">
        <v>9916666.67</v>
      </c>
      <c r="L284" s="47" t="s">
        <v>26</v>
      </c>
      <c r="M284" s="52">
        <f t="shared" si="5"/>
        <v>9916666.67</v>
      </c>
      <c r="N284" s="53">
        <v>0.14286</v>
      </c>
      <c r="O284" s="47" t="s">
        <v>672</v>
      </c>
      <c r="P284" s="47" t="s">
        <v>673</v>
      </c>
      <c r="Q284" s="47" t="s">
        <v>29</v>
      </c>
    </row>
    <row r="285" hidden="1" spans="1:17">
      <c r="A285" s="47" t="s">
        <v>17</v>
      </c>
      <c r="B285" s="48" t="s">
        <v>40</v>
      </c>
      <c r="C285" s="47">
        <v>220678</v>
      </c>
      <c r="D285" s="47" t="s">
        <v>122</v>
      </c>
      <c r="E285" s="47" t="s">
        <v>42</v>
      </c>
      <c r="F285" s="49" t="s">
        <v>559</v>
      </c>
      <c r="G285" s="47" t="s">
        <v>674</v>
      </c>
      <c r="H285" s="47" t="s">
        <v>163</v>
      </c>
      <c r="I285" s="47" t="s">
        <v>135</v>
      </c>
      <c r="J285" s="47" t="s">
        <v>45</v>
      </c>
      <c r="K285" s="51">
        <v>50000000</v>
      </c>
      <c r="L285" s="47" t="s">
        <v>26</v>
      </c>
      <c r="M285" s="52">
        <f t="shared" si="5"/>
        <v>50000000</v>
      </c>
      <c r="N285" s="53">
        <v>0.15</v>
      </c>
      <c r="O285" s="47" t="s">
        <v>672</v>
      </c>
      <c r="P285" s="47" t="s">
        <v>428</v>
      </c>
      <c r="Q285" s="47" t="s">
        <v>33</v>
      </c>
    </row>
    <row r="286" hidden="1" spans="1:17">
      <c r="A286" s="47" t="s">
        <v>17</v>
      </c>
      <c r="B286" s="48" t="s">
        <v>34</v>
      </c>
      <c r="C286" s="47">
        <v>220946</v>
      </c>
      <c r="D286" s="47" t="s">
        <v>48</v>
      </c>
      <c r="E286" s="47" t="s">
        <v>49</v>
      </c>
      <c r="F286" s="49" t="s">
        <v>675</v>
      </c>
      <c r="G286" s="47" t="s">
        <v>676</v>
      </c>
      <c r="H286" s="47" t="s">
        <v>125</v>
      </c>
      <c r="I286" s="47" t="s">
        <v>135</v>
      </c>
      <c r="J286" s="47" t="s">
        <v>25</v>
      </c>
      <c r="K286" s="51">
        <v>4886363.64</v>
      </c>
      <c r="L286" s="47" t="s">
        <v>26</v>
      </c>
      <c r="M286" s="52">
        <f t="shared" si="5"/>
        <v>4886363.64</v>
      </c>
      <c r="N286" s="53">
        <v>0.12</v>
      </c>
      <c r="O286" s="47" t="s">
        <v>672</v>
      </c>
      <c r="P286" s="47" t="s">
        <v>79</v>
      </c>
      <c r="Q286" s="47" t="s">
        <v>29</v>
      </c>
    </row>
    <row r="287" hidden="1" spans="1:17">
      <c r="A287" s="47" t="s">
        <v>17</v>
      </c>
      <c r="B287" s="48" t="s">
        <v>103</v>
      </c>
      <c r="C287" s="47">
        <v>223208</v>
      </c>
      <c r="D287" s="47" t="s">
        <v>389</v>
      </c>
      <c r="E287" s="47" t="s">
        <v>105</v>
      </c>
      <c r="F287" s="49" t="s">
        <v>677</v>
      </c>
      <c r="G287" s="47" t="s">
        <v>678</v>
      </c>
      <c r="H287" s="47" t="s">
        <v>163</v>
      </c>
      <c r="I287" s="47" t="s">
        <v>135</v>
      </c>
      <c r="J287" s="47" t="s">
        <v>25</v>
      </c>
      <c r="K287" s="51">
        <v>12500000</v>
      </c>
      <c r="L287" s="47" t="s">
        <v>26</v>
      </c>
      <c r="M287" s="52">
        <f t="shared" si="5"/>
        <v>12500000</v>
      </c>
      <c r="N287" s="53">
        <v>0.16</v>
      </c>
      <c r="O287" s="47" t="s">
        <v>672</v>
      </c>
      <c r="P287" s="47" t="s">
        <v>401</v>
      </c>
      <c r="Q287" s="47" t="s">
        <v>209</v>
      </c>
    </row>
    <row r="288" hidden="1" spans="1:17">
      <c r="A288" s="47" t="s">
        <v>17</v>
      </c>
      <c r="B288" s="48" t="s">
        <v>103</v>
      </c>
      <c r="C288" s="47">
        <v>223210</v>
      </c>
      <c r="D288" s="47" t="s">
        <v>389</v>
      </c>
      <c r="E288" s="47" t="s">
        <v>105</v>
      </c>
      <c r="F288" s="49" t="s">
        <v>679</v>
      </c>
      <c r="G288" s="47" t="s">
        <v>680</v>
      </c>
      <c r="H288" s="47" t="s">
        <v>134</v>
      </c>
      <c r="I288" s="47" t="s">
        <v>135</v>
      </c>
      <c r="J288" s="47" t="s">
        <v>25</v>
      </c>
      <c r="K288" s="51">
        <v>7500000</v>
      </c>
      <c r="L288" s="47" t="s">
        <v>26</v>
      </c>
      <c r="M288" s="52">
        <f t="shared" si="5"/>
        <v>7500000</v>
      </c>
      <c r="N288" s="53">
        <v>0.2</v>
      </c>
      <c r="O288" s="47" t="s">
        <v>672</v>
      </c>
      <c r="P288" s="47" t="s">
        <v>401</v>
      </c>
      <c r="Q288" s="47" t="s">
        <v>209</v>
      </c>
    </row>
    <row r="289" hidden="1" spans="1:17">
      <c r="A289" s="47" t="s">
        <v>17</v>
      </c>
      <c r="B289" s="48" t="s">
        <v>34</v>
      </c>
      <c r="C289" s="47">
        <v>219910</v>
      </c>
      <c r="D289" s="47" t="s">
        <v>252</v>
      </c>
      <c r="E289" s="47" t="s">
        <v>36</v>
      </c>
      <c r="F289" s="49" t="s">
        <v>253</v>
      </c>
      <c r="G289" s="47" t="s">
        <v>681</v>
      </c>
      <c r="H289" s="47" t="s">
        <v>163</v>
      </c>
      <c r="I289" s="47" t="s">
        <v>135</v>
      </c>
      <c r="J289" s="47" t="s">
        <v>45</v>
      </c>
      <c r="K289" s="51">
        <v>2500000</v>
      </c>
      <c r="L289" s="47" t="s">
        <v>26</v>
      </c>
      <c r="M289" s="52">
        <f t="shared" si="5"/>
        <v>2500000</v>
      </c>
      <c r="N289" s="53">
        <v>0.2</v>
      </c>
      <c r="O289" s="47" t="s">
        <v>682</v>
      </c>
      <c r="P289" s="47" t="s">
        <v>683</v>
      </c>
      <c r="Q289" s="47" t="s">
        <v>100</v>
      </c>
    </row>
    <row r="290" hidden="1" spans="1:17">
      <c r="A290" s="47" t="s">
        <v>17</v>
      </c>
      <c r="B290" s="48" t="s">
        <v>34</v>
      </c>
      <c r="C290" s="47">
        <v>220961</v>
      </c>
      <c r="D290" s="47" t="s">
        <v>48</v>
      </c>
      <c r="E290" s="47" t="s">
        <v>49</v>
      </c>
      <c r="F290" s="49" t="s">
        <v>684</v>
      </c>
      <c r="G290" s="47" t="s">
        <v>685</v>
      </c>
      <c r="H290" s="47" t="s">
        <v>134</v>
      </c>
      <c r="I290" s="47" t="s">
        <v>135</v>
      </c>
      <c r="J290" s="47" t="s">
        <v>25</v>
      </c>
      <c r="K290" s="51">
        <v>15681818.18</v>
      </c>
      <c r="L290" s="47" t="s">
        <v>26</v>
      </c>
      <c r="M290" s="52">
        <f t="shared" si="5"/>
        <v>15681818.18</v>
      </c>
      <c r="N290" s="53">
        <v>0.12</v>
      </c>
      <c r="O290" s="47" t="s">
        <v>682</v>
      </c>
      <c r="P290" s="47" t="s">
        <v>79</v>
      </c>
      <c r="Q290" s="47" t="s">
        <v>29</v>
      </c>
    </row>
    <row r="291" hidden="1" spans="1:17">
      <c r="A291" s="47" t="s">
        <v>17</v>
      </c>
      <c r="B291" s="48" t="s">
        <v>103</v>
      </c>
      <c r="C291" s="47">
        <v>223239</v>
      </c>
      <c r="D291" s="47" t="s">
        <v>116</v>
      </c>
      <c r="E291" s="47" t="s">
        <v>117</v>
      </c>
      <c r="F291" s="49" t="s">
        <v>686</v>
      </c>
      <c r="G291" s="47" t="s">
        <v>687</v>
      </c>
      <c r="H291" s="47" t="s">
        <v>163</v>
      </c>
      <c r="I291" s="47" t="s">
        <v>135</v>
      </c>
      <c r="J291" s="47" t="s">
        <v>25</v>
      </c>
      <c r="K291" s="51">
        <v>16999999.9992714</v>
      </c>
      <c r="L291" s="47" t="s">
        <v>26</v>
      </c>
      <c r="M291" s="52">
        <f t="shared" si="5"/>
        <v>16999999.9992714</v>
      </c>
      <c r="N291" s="53">
        <v>0.17647</v>
      </c>
      <c r="O291" s="47" t="s">
        <v>682</v>
      </c>
      <c r="P291" s="47" t="s">
        <v>401</v>
      </c>
      <c r="Q291" s="47" t="s">
        <v>259</v>
      </c>
    </row>
    <row r="292" hidden="1" spans="1:17">
      <c r="A292" s="47" t="s">
        <v>17</v>
      </c>
      <c r="B292" s="48" t="s">
        <v>103</v>
      </c>
      <c r="C292" s="47">
        <v>223917</v>
      </c>
      <c r="D292" s="47" t="s">
        <v>104</v>
      </c>
      <c r="E292" s="47" t="s">
        <v>105</v>
      </c>
      <c r="F292" s="49" t="s">
        <v>454</v>
      </c>
      <c r="G292" s="47" t="s">
        <v>688</v>
      </c>
      <c r="H292" s="47" t="s">
        <v>134</v>
      </c>
      <c r="I292" s="47" t="s">
        <v>135</v>
      </c>
      <c r="J292" s="47" t="s">
        <v>25</v>
      </c>
      <c r="K292" s="51">
        <v>2999999.99988462</v>
      </c>
      <c r="L292" s="47" t="s">
        <v>26</v>
      </c>
      <c r="M292" s="52">
        <f t="shared" si="5"/>
        <v>2999999.99988462</v>
      </c>
      <c r="N292" s="53">
        <v>0.13333</v>
      </c>
      <c r="O292" s="47" t="s">
        <v>682</v>
      </c>
      <c r="P292" s="47" t="s">
        <v>99</v>
      </c>
      <c r="Q292" s="47" t="s">
        <v>100</v>
      </c>
    </row>
    <row r="293" hidden="1" spans="1:17">
      <c r="A293" s="47" t="s">
        <v>17</v>
      </c>
      <c r="B293" s="48" t="s">
        <v>68</v>
      </c>
      <c r="C293" s="47">
        <v>220445</v>
      </c>
      <c r="D293" s="47" t="s">
        <v>281</v>
      </c>
      <c r="E293" s="47" t="s">
        <v>70</v>
      </c>
      <c r="F293" s="49" t="s">
        <v>689</v>
      </c>
      <c r="G293" s="47" t="s">
        <v>690</v>
      </c>
      <c r="H293" s="47" t="s">
        <v>163</v>
      </c>
      <c r="I293" s="47" t="s">
        <v>135</v>
      </c>
      <c r="J293" s="47" t="s">
        <v>25</v>
      </c>
      <c r="K293" s="51">
        <v>3142857.14</v>
      </c>
      <c r="L293" s="47" t="s">
        <v>26</v>
      </c>
      <c r="M293" s="52">
        <f t="shared" si="5"/>
        <v>3142857.14</v>
      </c>
      <c r="N293" s="53">
        <v>0.3</v>
      </c>
      <c r="O293" s="47" t="s">
        <v>691</v>
      </c>
      <c r="P293" s="47" t="s">
        <v>170</v>
      </c>
      <c r="Q293" s="47" t="s">
        <v>29</v>
      </c>
    </row>
    <row r="294" hidden="1" spans="1:17">
      <c r="A294" s="47" t="s">
        <v>17</v>
      </c>
      <c r="B294" s="48" t="s">
        <v>18</v>
      </c>
      <c r="C294" s="47">
        <v>222795</v>
      </c>
      <c r="D294" s="47" t="s">
        <v>287</v>
      </c>
      <c r="E294" s="47" t="s">
        <v>20</v>
      </c>
      <c r="F294" s="49" t="s">
        <v>692</v>
      </c>
      <c r="G294" s="47" t="s">
        <v>693</v>
      </c>
      <c r="H294" s="47" t="s">
        <v>134</v>
      </c>
      <c r="I294" s="47" t="s">
        <v>135</v>
      </c>
      <c r="J294" s="47" t="s">
        <v>45</v>
      </c>
      <c r="K294" s="51">
        <v>2500000</v>
      </c>
      <c r="L294" s="47" t="s">
        <v>26</v>
      </c>
      <c r="M294" s="52">
        <f t="shared" si="5"/>
        <v>2500000</v>
      </c>
      <c r="N294" s="53">
        <v>0.2</v>
      </c>
      <c r="O294" s="47" t="s">
        <v>691</v>
      </c>
      <c r="P294" s="47" t="s">
        <v>189</v>
      </c>
      <c r="Q294" s="47" t="s">
        <v>65</v>
      </c>
    </row>
    <row r="295" hidden="1" spans="1:17">
      <c r="A295" s="47" t="s">
        <v>17</v>
      </c>
      <c r="B295" s="48" t="s">
        <v>18</v>
      </c>
      <c r="C295" s="47">
        <v>220498</v>
      </c>
      <c r="D295" s="47" t="s">
        <v>275</v>
      </c>
      <c r="E295" s="47" t="s">
        <v>20</v>
      </c>
      <c r="F295" s="49" t="s">
        <v>694</v>
      </c>
      <c r="G295" s="47" t="s">
        <v>695</v>
      </c>
      <c r="H295" s="47" t="s">
        <v>134</v>
      </c>
      <c r="I295" s="47" t="s">
        <v>135</v>
      </c>
      <c r="J295" s="47" t="s">
        <v>25</v>
      </c>
      <c r="K295" s="51">
        <v>20000000</v>
      </c>
      <c r="L295" s="47" t="s">
        <v>26</v>
      </c>
      <c r="M295" s="52">
        <f t="shared" si="5"/>
        <v>20000000</v>
      </c>
      <c r="N295" s="53">
        <v>0.1</v>
      </c>
      <c r="O295" s="47" t="s">
        <v>696</v>
      </c>
      <c r="P295" s="47" t="s">
        <v>170</v>
      </c>
      <c r="Q295" s="47" t="s">
        <v>259</v>
      </c>
    </row>
    <row r="296" hidden="1" spans="1:17">
      <c r="A296" s="47" t="s">
        <v>17</v>
      </c>
      <c r="B296" s="48" t="s">
        <v>18</v>
      </c>
      <c r="C296" s="47">
        <v>220815</v>
      </c>
      <c r="D296" s="47" t="s">
        <v>146</v>
      </c>
      <c r="E296" s="47" t="s">
        <v>20</v>
      </c>
      <c r="F296" s="49" t="s">
        <v>697</v>
      </c>
      <c r="G296" s="47" t="s">
        <v>610</v>
      </c>
      <c r="H296" s="47" t="s">
        <v>125</v>
      </c>
      <c r="I296" s="47" t="s">
        <v>135</v>
      </c>
      <c r="J296" s="47" t="s">
        <v>62</v>
      </c>
      <c r="K296" s="51">
        <v>2000000</v>
      </c>
      <c r="L296" s="47" t="s">
        <v>26</v>
      </c>
      <c r="M296" s="52">
        <f t="shared" si="5"/>
        <v>2000000</v>
      </c>
      <c r="N296" s="54"/>
      <c r="O296" s="47" t="s">
        <v>696</v>
      </c>
      <c r="P296" s="47" t="s">
        <v>77</v>
      </c>
      <c r="Q296" s="47" t="s">
        <v>29</v>
      </c>
    </row>
    <row r="297" hidden="1" spans="1:17">
      <c r="A297" s="47" t="s">
        <v>17</v>
      </c>
      <c r="B297" s="48" t="s">
        <v>103</v>
      </c>
      <c r="C297" s="47">
        <v>220936</v>
      </c>
      <c r="D297" s="47" t="s">
        <v>389</v>
      </c>
      <c r="E297" s="47" t="s">
        <v>105</v>
      </c>
      <c r="F297" s="49" t="s">
        <v>614</v>
      </c>
      <c r="G297" s="47" t="s">
        <v>698</v>
      </c>
      <c r="H297" s="47" t="s">
        <v>134</v>
      </c>
      <c r="I297" s="47" t="s">
        <v>135</v>
      </c>
      <c r="J297" s="47" t="s">
        <v>25</v>
      </c>
      <c r="K297" s="51">
        <v>4500000.00023684</v>
      </c>
      <c r="L297" s="47" t="s">
        <v>26</v>
      </c>
      <c r="M297" s="52">
        <f t="shared" si="5"/>
        <v>4500000.00023684</v>
      </c>
      <c r="N297" s="53">
        <v>0.15556</v>
      </c>
      <c r="O297" s="47" t="s">
        <v>696</v>
      </c>
      <c r="P297" s="47" t="s">
        <v>79</v>
      </c>
      <c r="Q297" s="47" t="s">
        <v>209</v>
      </c>
    </row>
    <row r="298" hidden="1" spans="1:17">
      <c r="A298" s="47" t="s">
        <v>17</v>
      </c>
      <c r="B298" s="48" t="s">
        <v>34</v>
      </c>
      <c r="C298" s="47">
        <v>223175</v>
      </c>
      <c r="D298" s="47" t="s">
        <v>35</v>
      </c>
      <c r="E298" s="47" t="s">
        <v>36</v>
      </c>
      <c r="F298" s="49" t="s">
        <v>699</v>
      </c>
      <c r="G298" s="47" t="s">
        <v>699</v>
      </c>
      <c r="H298" s="47" t="s">
        <v>134</v>
      </c>
      <c r="I298" s="47" t="s">
        <v>135</v>
      </c>
      <c r="J298" s="47" t="s">
        <v>45</v>
      </c>
      <c r="K298" s="51">
        <v>10000000</v>
      </c>
      <c r="L298" s="47" t="s">
        <v>26</v>
      </c>
      <c r="M298" s="52">
        <f t="shared" si="5"/>
        <v>10000000</v>
      </c>
      <c r="N298" s="53">
        <v>0.1</v>
      </c>
      <c r="O298" s="47" t="s">
        <v>696</v>
      </c>
      <c r="P298" s="47" t="s">
        <v>39</v>
      </c>
      <c r="Q298" s="47" t="s">
        <v>33</v>
      </c>
    </row>
    <row r="299" hidden="1" spans="1:17">
      <c r="A299" s="47" t="s">
        <v>17</v>
      </c>
      <c r="B299" s="48" t="s">
        <v>40</v>
      </c>
      <c r="C299" s="47">
        <v>220051</v>
      </c>
      <c r="D299" s="47" t="s">
        <v>210</v>
      </c>
      <c r="E299" s="47" t="s">
        <v>42</v>
      </c>
      <c r="F299" s="49" t="s">
        <v>371</v>
      </c>
      <c r="G299" s="47" t="s">
        <v>700</v>
      </c>
      <c r="H299" s="47" t="s">
        <v>125</v>
      </c>
      <c r="I299" s="47" t="s">
        <v>135</v>
      </c>
      <c r="J299" s="47" t="s">
        <v>25</v>
      </c>
      <c r="K299" s="51">
        <v>8000000</v>
      </c>
      <c r="L299" s="47" t="s">
        <v>26</v>
      </c>
      <c r="M299" s="52">
        <f t="shared" si="5"/>
        <v>8000000</v>
      </c>
      <c r="N299" s="53">
        <v>0.1875</v>
      </c>
      <c r="O299" s="47" t="s">
        <v>701</v>
      </c>
      <c r="P299" s="47" t="s">
        <v>373</v>
      </c>
      <c r="Q299" s="47" t="s">
        <v>33</v>
      </c>
    </row>
    <row r="300" hidden="1" spans="1:17">
      <c r="A300" s="47" t="s">
        <v>17</v>
      </c>
      <c r="B300" s="48" t="s">
        <v>40</v>
      </c>
      <c r="C300" s="47">
        <v>216387</v>
      </c>
      <c r="D300" s="47" t="s">
        <v>122</v>
      </c>
      <c r="E300" s="47" t="s">
        <v>42</v>
      </c>
      <c r="F300" s="49" t="s">
        <v>702</v>
      </c>
      <c r="G300" s="47" t="s">
        <v>703</v>
      </c>
      <c r="H300" s="47" t="s">
        <v>163</v>
      </c>
      <c r="I300" s="47" t="s">
        <v>135</v>
      </c>
      <c r="J300" s="47" t="s">
        <v>45</v>
      </c>
      <c r="K300" s="51">
        <v>10000000</v>
      </c>
      <c r="L300" s="47" t="s">
        <v>26</v>
      </c>
      <c r="M300" s="52">
        <f t="shared" si="5"/>
        <v>10000000</v>
      </c>
      <c r="N300" s="53">
        <v>0.15</v>
      </c>
      <c r="O300" s="47" t="s">
        <v>704</v>
      </c>
      <c r="P300" s="47" t="s">
        <v>127</v>
      </c>
      <c r="Q300" s="47" t="s">
        <v>29</v>
      </c>
    </row>
    <row r="301" hidden="1" spans="1:17">
      <c r="A301" s="47" t="s">
        <v>17</v>
      </c>
      <c r="B301" s="48" t="s">
        <v>40</v>
      </c>
      <c r="C301" s="47">
        <v>220079</v>
      </c>
      <c r="D301" s="47" t="s">
        <v>210</v>
      </c>
      <c r="E301" s="47" t="s">
        <v>42</v>
      </c>
      <c r="F301" s="49" t="s">
        <v>473</v>
      </c>
      <c r="G301" s="47" t="s">
        <v>705</v>
      </c>
      <c r="H301" s="47" t="s">
        <v>125</v>
      </c>
      <c r="I301" s="47" t="s">
        <v>135</v>
      </c>
      <c r="J301" s="47" t="s">
        <v>25</v>
      </c>
      <c r="K301" s="51">
        <v>20000000</v>
      </c>
      <c r="L301" s="47" t="s">
        <v>26</v>
      </c>
      <c r="M301" s="52">
        <f t="shared" si="5"/>
        <v>20000000</v>
      </c>
      <c r="N301" s="53">
        <v>0.25</v>
      </c>
      <c r="O301" s="47" t="s">
        <v>704</v>
      </c>
      <c r="P301" s="47" t="s">
        <v>706</v>
      </c>
      <c r="Q301" s="47" t="s">
        <v>29</v>
      </c>
    </row>
    <row r="302" hidden="1" spans="1:17">
      <c r="A302" s="47" t="s">
        <v>17</v>
      </c>
      <c r="B302" s="48" t="s">
        <v>103</v>
      </c>
      <c r="C302" s="47">
        <v>221846</v>
      </c>
      <c r="D302" s="47" t="s">
        <v>435</v>
      </c>
      <c r="E302" s="47" t="s">
        <v>105</v>
      </c>
      <c r="F302" s="49" t="s">
        <v>707</v>
      </c>
      <c r="G302" s="47" t="s">
        <v>708</v>
      </c>
      <c r="H302" s="47" t="s">
        <v>125</v>
      </c>
      <c r="I302" s="47" t="s">
        <v>135</v>
      </c>
      <c r="J302" s="47" t="s">
        <v>25</v>
      </c>
      <c r="K302" s="51">
        <v>999999.9</v>
      </c>
      <c r="L302" s="47" t="s">
        <v>26</v>
      </c>
      <c r="M302" s="52">
        <f t="shared" si="5"/>
        <v>999999.9</v>
      </c>
      <c r="N302" s="53">
        <v>0.1</v>
      </c>
      <c r="O302" s="47" t="s">
        <v>704</v>
      </c>
      <c r="P302" s="47" t="s">
        <v>367</v>
      </c>
      <c r="Q302" s="47" t="s">
        <v>33</v>
      </c>
    </row>
    <row r="303" hidden="1" spans="1:17">
      <c r="A303" s="47" t="s">
        <v>17</v>
      </c>
      <c r="B303" s="48" t="s">
        <v>103</v>
      </c>
      <c r="C303" s="47">
        <v>221905</v>
      </c>
      <c r="D303" s="47" t="s">
        <v>435</v>
      </c>
      <c r="E303" s="47" t="s">
        <v>105</v>
      </c>
      <c r="F303" s="49" t="s">
        <v>709</v>
      </c>
      <c r="G303" s="47" t="s">
        <v>710</v>
      </c>
      <c r="H303" s="47" t="s">
        <v>163</v>
      </c>
      <c r="I303" s="47" t="s">
        <v>135</v>
      </c>
      <c r="J303" s="47" t="s">
        <v>25</v>
      </c>
      <c r="K303" s="51">
        <v>5113636.2</v>
      </c>
      <c r="L303" s="47" t="s">
        <v>26</v>
      </c>
      <c r="M303" s="52">
        <f t="shared" si="5"/>
        <v>5113636.2</v>
      </c>
      <c r="N303" s="53">
        <v>0.1</v>
      </c>
      <c r="O303" s="47" t="s">
        <v>704</v>
      </c>
      <c r="P303" s="47" t="s">
        <v>367</v>
      </c>
      <c r="Q303" s="47" t="s">
        <v>33</v>
      </c>
    </row>
    <row r="304" hidden="1" spans="1:17">
      <c r="A304" s="47" t="s">
        <v>17</v>
      </c>
      <c r="B304" s="48" t="s">
        <v>40</v>
      </c>
      <c r="C304" s="47">
        <v>223012</v>
      </c>
      <c r="D304" s="47" t="s">
        <v>122</v>
      </c>
      <c r="E304" s="47" t="s">
        <v>42</v>
      </c>
      <c r="F304" s="49" t="s">
        <v>90</v>
      </c>
      <c r="G304" s="47" t="s">
        <v>711</v>
      </c>
      <c r="H304" s="47" t="s">
        <v>163</v>
      </c>
      <c r="I304" s="47" t="s">
        <v>135</v>
      </c>
      <c r="J304" s="47" t="s">
        <v>45</v>
      </c>
      <c r="K304" s="51">
        <v>29411764.71</v>
      </c>
      <c r="L304" s="47" t="s">
        <v>26</v>
      </c>
      <c r="M304" s="52">
        <f t="shared" si="5"/>
        <v>29411764.71</v>
      </c>
      <c r="N304" s="53">
        <v>0.15</v>
      </c>
      <c r="O304" s="47" t="s">
        <v>704</v>
      </c>
      <c r="P304" s="47" t="s">
        <v>266</v>
      </c>
      <c r="Q304" s="47" t="s">
        <v>33</v>
      </c>
    </row>
    <row r="305" hidden="1" spans="1:17">
      <c r="A305" s="47" t="s">
        <v>17</v>
      </c>
      <c r="B305" s="48" t="s">
        <v>68</v>
      </c>
      <c r="C305" s="47">
        <v>216419</v>
      </c>
      <c r="D305" s="47" t="s">
        <v>358</v>
      </c>
      <c r="E305" s="47" t="s">
        <v>70</v>
      </c>
      <c r="F305" s="49" t="s">
        <v>712</v>
      </c>
      <c r="G305" s="47" t="s">
        <v>713</v>
      </c>
      <c r="H305" s="47" t="s">
        <v>125</v>
      </c>
      <c r="I305" s="47" t="s">
        <v>135</v>
      </c>
      <c r="J305" s="47" t="s">
        <v>25</v>
      </c>
      <c r="K305" s="55">
        <v>14371592.54</v>
      </c>
      <c r="L305" s="47" t="s">
        <v>361</v>
      </c>
      <c r="M305" s="48">
        <f>K305*89</f>
        <v>1279071736.06</v>
      </c>
      <c r="N305" s="53">
        <v>0.17546</v>
      </c>
      <c r="O305" s="47" t="s">
        <v>714</v>
      </c>
      <c r="P305" s="47" t="s">
        <v>270</v>
      </c>
      <c r="Q305" s="47" t="s">
        <v>29</v>
      </c>
    </row>
    <row r="306" hidden="1" spans="1:17">
      <c r="A306" s="47" t="s">
        <v>17</v>
      </c>
      <c r="B306" s="48" t="s">
        <v>34</v>
      </c>
      <c r="C306" s="47">
        <v>220482</v>
      </c>
      <c r="D306" s="47" t="s">
        <v>278</v>
      </c>
      <c r="E306" s="47" t="s">
        <v>36</v>
      </c>
      <c r="F306" s="49" t="s">
        <v>715</v>
      </c>
      <c r="G306" s="47" t="s">
        <v>716</v>
      </c>
      <c r="H306" s="47" t="s">
        <v>163</v>
      </c>
      <c r="I306" s="47" t="s">
        <v>135</v>
      </c>
      <c r="J306" s="47" t="s">
        <v>25</v>
      </c>
      <c r="K306" s="51">
        <v>2999999.99988462</v>
      </c>
      <c r="L306" s="47" t="s">
        <v>26</v>
      </c>
      <c r="M306" s="52">
        <f t="shared" ref="M306:M369" si="6">K306</f>
        <v>2999999.99988462</v>
      </c>
      <c r="N306" s="53">
        <v>0.13333</v>
      </c>
      <c r="O306" s="47" t="s">
        <v>714</v>
      </c>
      <c r="P306" s="47" t="s">
        <v>170</v>
      </c>
      <c r="Q306" s="47" t="s">
        <v>29</v>
      </c>
    </row>
    <row r="307" hidden="1" spans="1:17">
      <c r="A307" s="47" t="s">
        <v>17</v>
      </c>
      <c r="B307" s="48" t="s">
        <v>40</v>
      </c>
      <c r="C307" s="47">
        <v>220505</v>
      </c>
      <c r="D307" s="47" t="s">
        <v>41</v>
      </c>
      <c r="E307" s="47" t="s">
        <v>42</v>
      </c>
      <c r="F307" s="49" t="s">
        <v>717</v>
      </c>
      <c r="G307" s="47" t="s">
        <v>718</v>
      </c>
      <c r="H307" s="47" t="s">
        <v>134</v>
      </c>
      <c r="I307" s="47" t="s">
        <v>135</v>
      </c>
      <c r="J307" s="47" t="s">
        <v>45</v>
      </c>
      <c r="K307" s="51">
        <v>5000000</v>
      </c>
      <c r="L307" s="47" t="s">
        <v>26</v>
      </c>
      <c r="M307" s="52">
        <f t="shared" si="6"/>
        <v>5000000</v>
      </c>
      <c r="N307" s="53">
        <v>0</v>
      </c>
      <c r="O307" s="47" t="s">
        <v>714</v>
      </c>
      <c r="P307" s="47" t="s">
        <v>170</v>
      </c>
      <c r="Q307" s="47" t="s">
        <v>29</v>
      </c>
    </row>
    <row r="308" hidden="1" spans="1:17">
      <c r="A308" s="47" t="s">
        <v>17</v>
      </c>
      <c r="B308" s="48" t="s">
        <v>103</v>
      </c>
      <c r="C308" s="47">
        <v>221842</v>
      </c>
      <c r="D308" s="47" t="s">
        <v>435</v>
      </c>
      <c r="E308" s="47" t="s">
        <v>105</v>
      </c>
      <c r="F308" s="49" t="s">
        <v>466</v>
      </c>
      <c r="G308" s="47" t="s">
        <v>719</v>
      </c>
      <c r="H308" s="47" t="s">
        <v>134</v>
      </c>
      <c r="I308" s="47" t="s">
        <v>135</v>
      </c>
      <c r="J308" s="47" t="s">
        <v>25</v>
      </c>
      <c r="K308" s="51">
        <v>500000.4</v>
      </c>
      <c r="L308" s="47" t="s">
        <v>26</v>
      </c>
      <c r="M308" s="52">
        <f t="shared" si="6"/>
        <v>500000.4</v>
      </c>
      <c r="N308" s="53">
        <v>0.1</v>
      </c>
      <c r="O308" s="47" t="s">
        <v>714</v>
      </c>
      <c r="P308" s="47" t="s">
        <v>367</v>
      </c>
      <c r="Q308" s="47" t="s">
        <v>209</v>
      </c>
    </row>
    <row r="309" hidden="1" spans="1:17">
      <c r="A309" s="47" t="s">
        <v>17</v>
      </c>
      <c r="B309" s="48" t="s">
        <v>103</v>
      </c>
      <c r="C309" s="47">
        <v>221861</v>
      </c>
      <c r="D309" s="47" t="s">
        <v>435</v>
      </c>
      <c r="E309" s="47" t="s">
        <v>105</v>
      </c>
      <c r="F309" s="49" t="s">
        <v>468</v>
      </c>
      <c r="G309" s="47" t="s">
        <v>720</v>
      </c>
      <c r="H309" s="47" t="s">
        <v>163</v>
      </c>
      <c r="I309" s="47" t="s">
        <v>135</v>
      </c>
      <c r="J309" s="47" t="s">
        <v>721</v>
      </c>
      <c r="K309" s="51">
        <v>6000000.3</v>
      </c>
      <c r="L309" s="47" t="s">
        <v>26</v>
      </c>
      <c r="M309" s="52">
        <f t="shared" si="6"/>
        <v>6000000.3</v>
      </c>
      <c r="N309" s="53">
        <v>0.1</v>
      </c>
      <c r="O309" s="47" t="s">
        <v>714</v>
      </c>
      <c r="P309" s="47" t="s">
        <v>367</v>
      </c>
      <c r="Q309" s="47" t="s">
        <v>33</v>
      </c>
    </row>
    <row r="310" hidden="1" spans="1:17">
      <c r="A310" s="47" t="s">
        <v>17</v>
      </c>
      <c r="B310" s="48" t="s">
        <v>103</v>
      </c>
      <c r="C310" s="47">
        <v>221986</v>
      </c>
      <c r="D310" s="47" t="s">
        <v>435</v>
      </c>
      <c r="E310" s="47" t="s">
        <v>105</v>
      </c>
      <c r="F310" s="49" t="s">
        <v>722</v>
      </c>
      <c r="G310" s="47" t="s">
        <v>723</v>
      </c>
      <c r="H310" s="47" t="s">
        <v>134</v>
      </c>
      <c r="I310" s="47" t="s">
        <v>135</v>
      </c>
      <c r="J310" s="47" t="s">
        <v>25</v>
      </c>
      <c r="K310" s="51">
        <v>666666.67</v>
      </c>
      <c r="L310" s="47" t="s">
        <v>26</v>
      </c>
      <c r="M310" s="52">
        <f t="shared" si="6"/>
        <v>666666.67</v>
      </c>
      <c r="N310" s="53">
        <v>0.25</v>
      </c>
      <c r="O310" s="47" t="s">
        <v>714</v>
      </c>
      <c r="P310" s="47" t="s">
        <v>724</v>
      </c>
      <c r="Q310" s="47" t="s">
        <v>29</v>
      </c>
    </row>
    <row r="311" hidden="1" spans="1:17">
      <c r="A311" s="47" t="s">
        <v>17</v>
      </c>
      <c r="B311" s="48" t="s">
        <v>18</v>
      </c>
      <c r="C311" s="47">
        <v>212760</v>
      </c>
      <c r="D311" s="47" t="s">
        <v>171</v>
      </c>
      <c r="E311" s="47" t="s">
        <v>172</v>
      </c>
      <c r="F311" s="49" t="s">
        <v>725</v>
      </c>
      <c r="G311" s="47" t="s">
        <v>726</v>
      </c>
      <c r="H311" s="47" t="s">
        <v>134</v>
      </c>
      <c r="I311" s="47" t="s">
        <v>135</v>
      </c>
      <c r="J311" s="47" t="s">
        <v>25</v>
      </c>
      <c r="K311" s="51">
        <v>10000000</v>
      </c>
      <c r="L311" s="47" t="s">
        <v>26</v>
      </c>
      <c r="M311" s="52">
        <f t="shared" si="6"/>
        <v>10000000</v>
      </c>
      <c r="N311" s="53">
        <v>0.2</v>
      </c>
      <c r="O311" s="47" t="s">
        <v>727</v>
      </c>
      <c r="P311" s="47" t="s">
        <v>728</v>
      </c>
      <c r="Q311" s="47" t="s">
        <v>29</v>
      </c>
    </row>
    <row r="312" hidden="1" spans="1:17">
      <c r="A312" s="47" t="s">
        <v>17</v>
      </c>
      <c r="B312" s="48" t="s">
        <v>68</v>
      </c>
      <c r="C312" s="47">
        <v>220429</v>
      </c>
      <c r="D312" s="47" t="s">
        <v>96</v>
      </c>
      <c r="E312" s="47" t="s">
        <v>70</v>
      </c>
      <c r="F312" s="49" t="s">
        <v>661</v>
      </c>
      <c r="G312" s="47" t="s">
        <v>729</v>
      </c>
      <c r="H312" s="47" t="s">
        <v>134</v>
      </c>
      <c r="I312" s="47" t="s">
        <v>135</v>
      </c>
      <c r="J312" s="47" t="s">
        <v>25</v>
      </c>
      <c r="K312" s="51">
        <v>80000000</v>
      </c>
      <c r="L312" s="47" t="s">
        <v>26</v>
      </c>
      <c r="M312" s="52">
        <f t="shared" si="6"/>
        <v>80000000</v>
      </c>
      <c r="N312" s="53">
        <v>0.125</v>
      </c>
      <c r="O312" s="47" t="s">
        <v>727</v>
      </c>
      <c r="P312" s="47" t="s">
        <v>170</v>
      </c>
      <c r="Q312" s="47" t="s">
        <v>29</v>
      </c>
    </row>
    <row r="313" hidden="1" spans="1:17">
      <c r="A313" s="47" t="s">
        <v>17</v>
      </c>
      <c r="B313" s="48" t="s">
        <v>18</v>
      </c>
      <c r="C313" s="47">
        <v>220478</v>
      </c>
      <c r="D313" s="47" t="s">
        <v>171</v>
      </c>
      <c r="E313" s="47" t="s">
        <v>172</v>
      </c>
      <c r="F313" s="49" t="s">
        <v>88</v>
      </c>
      <c r="G313" s="47" t="s">
        <v>730</v>
      </c>
      <c r="H313" s="47" t="s">
        <v>163</v>
      </c>
      <c r="I313" s="47" t="s">
        <v>135</v>
      </c>
      <c r="J313" s="47" t="s">
        <v>25</v>
      </c>
      <c r="K313" s="51">
        <v>100000000</v>
      </c>
      <c r="L313" s="47" t="s">
        <v>26</v>
      </c>
      <c r="M313" s="52">
        <f t="shared" si="6"/>
        <v>100000000</v>
      </c>
      <c r="N313" s="53">
        <v>0.2</v>
      </c>
      <c r="O313" s="47" t="s">
        <v>727</v>
      </c>
      <c r="P313" s="47" t="s">
        <v>170</v>
      </c>
      <c r="Q313" s="47" t="s">
        <v>33</v>
      </c>
    </row>
    <row r="314" hidden="1" spans="1:17">
      <c r="A314" s="47" t="s">
        <v>17</v>
      </c>
      <c r="B314" s="48" t="s">
        <v>40</v>
      </c>
      <c r="C314" s="47">
        <v>220761</v>
      </c>
      <c r="D314" s="47" t="s">
        <v>41</v>
      </c>
      <c r="E314" s="47" t="s">
        <v>42</v>
      </c>
      <c r="F314" s="49" t="s">
        <v>731</v>
      </c>
      <c r="G314" s="47" t="s">
        <v>560</v>
      </c>
      <c r="H314" s="47" t="s">
        <v>134</v>
      </c>
      <c r="I314" s="47" t="s">
        <v>135</v>
      </c>
      <c r="J314" s="47" t="s">
        <v>45</v>
      </c>
      <c r="K314" s="51">
        <v>100000000</v>
      </c>
      <c r="L314" s="47" t="s">
        <v>26</v>
      </c>
      <c r="M314" s="52">
        <f t="shared" si="6"/>
        <v>100000000</v>
      </c>
      <c r="N314" s="53">
        <v>0.9</v>
      </c>
      <c r="O314" s="47" t="s">
        <v>727</v>
      </c>
      <c r="P314" s="47" t="s">
        <v>219</v>
      </c>
      <c r="Q314" s="47" t="s">
        <v>33</v>
      </c>
    </row>
    <row r="315" hidden="1" spans="1:17">
      <c r="A315" s="47" t="s">
        <v>17</v>
      </c>
      <c r="B315" s="48" t="s">
        <v>34</v>
      </c>
      <c r="C315" s="47">
        <v>220962</v>
      </c>
      <c r="D315" s="47" t="s">
        <v>48</v>
      </c>
      <c r="E315" s="47" t="s">
        <v>49</v>
      </c>
      <c r="F315" s="49" t="s">
        <v>732</v>
      </c>
      <c r="G315" s="47" t="s">
        <v>733</v>
      </c>
      <c r="H315" s="47" t="s">
        <v>134</v>
      </c>
      <c r="I315" s="47" t="s">
        <v>135</v>
      </c>
      <c r="J315" s="47" t="s">
        <v>25</v>
      </c>
      <c r="K315" s="51">
        <v>24431818.18</v>
      </c>
      <c r="L315" s="47" t="s">
        <v>26</v>
      </c>
      <c r="M315" s="52">
        <f t="shared" si="6"/>
        <v>24431818.18</v>
      </c>
      <c r="N315" s="53">
        <v>0.12</v>
      </c>
      <c r="O315" s="47" t="s">
        <v>727</v>
      </c>
      <c r="P315" s="47" t="s">
        <v>79</v>
      </c>
      <c r="Q315" s="47" t="s">
        <v>29</v>
      </c>
    </row>
    <row r="316" hidden="1" spans="1:17">
      <c r="A316" s="47" t="s">
        <v>17</v>
      </c>
      <c r="B316" s="48" t="s">
        <v>68</v>
      </c>
      <c r="C316" s="47">
        <v>223281</v>
      </c>
      <c r="D316" s="47" t="s">
        <v>96</v>
      </c>
      <c r="E316" s="47" t="s">
        <v>70</v>
      </c>
      <c r="F316" s="49" t="s">
        <v>101</v>
      </c>
      <c r="G316" s="47" t="s">
        <v>734</v>
      </c>
      <c r="H316" s="47" t="s">
        <v>134</v>
      </c>
      <c r="I316" s="47" t="s">
        <v>135</v>
      </c>
      <c r="J316" s="47" t="s">
        <v>25</v>
      </c>
      <c r="K316" s="51">
        <v>6200000.0000248</v>
      </c>
      <c r="L316" s="47" t="s">
        <v>26</v>
      </c>
      <c r="M316" s="52">
        <f t="shared" si="6"/>
        <v>6200000.0000248</v>
      </c>
      <c r="N316" s="53">
        <v>0.19355</v>
      </c>
      <c r="O316" s="47" t="s">
        <v>727</v>
      </c>
      <c r="P316" s="47" t="s">
        <v>52</v>
      </c>
      <c r="Q316" s="47" t="s">
        <v>29</v>
      </c>
    </row>
    <row r="317" hidden="1" spans="1:17">
      <c r="A317" s="47" t="s">
        <v>17</v>
      </c>
      <c r="B317" s="48" t="s">
        <v>103</v>
      </c>
      <c r="C317" s="47">
        <v>219992</v>
      </c>
      <c r="D317" s="47" t="s">
        <v>117</v>
      </c>
      <c r="E317" s="47" t="s">
        <v>129</v>
      </c>
      <c r="F317" s="49" t="s">
        <v>735</v>
      </c>
      <c r="G317" s="47" t="s">
        <v>736</v>
      </c>
      <c r="H317" s="47" t="s">
        <v>134</v>
      </c>
      <c r="I317" s="47" t="s">
        <v>135</v>
      </c>
      <c r="J317" s="47" t="s">
        <v>25</v>
      </c>
      <c r="K317" s="51">
        <v>6000000.00024</v>
      </c>
      <c r="L317" s="47" t="s">
        <v>26</v>
      </c>
      <c r="M317" s="52">
        <f t="shared" si="6"/>
        <v>6000000.00024</v>
      </c>
      <c r="N317" s="53">
        <v>0.16667</v>
      </c>
      <c r="O317" s="47" t="s">
        <v>737</v>
      </c>
      <c r="P317" s="47" t="s">
        <v>528</v>
      </c>
      <c r="Q317" s="47" t="s">
        <v>209</v>
      </c>
    </row>
    <row r="318" hidden="1" spans="1:17">
      <c r="A318" s="47" t="s">
        <v>17</v>
      </c>
      <c r="B318" s="48" t="s">
        <v>34</v>
      </c>
      <c r="C318" s="47">
        <v>223427</v>
      </c>
      <c r="D318" s="47" t="s">
        <v>738</v>
      </c>
      <c r="E318" s="47" t="s">
        <v>621</v>
      </c>
      <c r="F318" s="49" t="s">
        <v>739</v>
      </c>
      <c r="G318" s="47" t="s">
        <v>740</v>
      </c>
      <c r="H318" s="47" t="s">
        <v>163</v>
      </c>
      <c r="I318" s="47" t="s">
        <v>135</v>
      </c>
      <c r="J318" s="47" t="s">
        <v>741</v>
      </c>
      <c r="K318" s="51">
        <v>2900000</v>
      </c>
      <c r="L318" s="47" t="s">
        <v>26</v>
      </c>
      <c r="M318" s="52">
        <f t="shared" si="6"/>
        <v>2900000</v>
      </c>
      <c r="N318" s="53">
        <v>0.24138</v>
      </c>
      <c r="O318" s="47" t="s">
        <v>737</v>
      </c>
      <c r="P318" s="47" t="s">
        <v>191</v>
      </c>
      <c r="Q318" s="47" t="s">
        <v>209</v>
      </c>
    </row>
    <row r="319" hidden="1" spans="1:17">
      <c r="A319" s="47" t="s">
        <v>17</v>
      </c>
      <c r="B319" s="48" t="s">
        <v>103</v>
      </c>
      <c r="C319" s="47">
        <v>215761</v>
      </c>
      <c r="D319" s="47" t="s">
        <v>326</v>
      </c>
      <c r="E319" s="47" t="s">
        <v>117</v>
      </c>
      <c r="F319" s="49" t="s">
        <v>742</v>
      </c>
      <c r="G319" s="47" t="s">
        <v>743</v>
      </c>
      <c r="H319" s="47" t="s">
        <v>125</v>
      </c>
      <c r="I319" s="47" t="s">
        <v>135</v>
      </c>
      <c r="J319" s="47" t="s">
        <v>25</v>
      </c>
      <c r="K319" s="51">
        <v>4417391.3</v>
      </c>
      <c r="L319" s="47" t="s">
        <v>26</v>
      </c>
      <c r="M319" s="52">
        <f t="shared" si="6"/>
        <v>4417391.3</v>
      </c>
      <c r="N319" s="53">
        <v>0.09449</v>
      </c>
      <c r="O319" s="47" t="s">
        <v>744</v>
      </c>
      <c r="P319" s="47" t="s">
        <v>745</v>
      </c>
      <c r="Q319" s="47" t="s">
        <v>33</v>
      </c>
    </row>
    <row r="320" hidden="1" spans="1:17">
      <c r="A320" s="47" t="s">
        <v>17</v>
      </c>
      <c r="B320" s="48" t="s">
        <v>40</v>
      </c>
      <c r="C320" s="47">
        <v>216386</v>
      </c>
      <c r="D320" s="47" t="s">
        <v>122</v>
      </c>
      <c r="E320" s="47" t="s">
        <v>42</v>
      </c>
      <c r="F320" s="49" t="s">
        <v>702</v>
      </c>
      <c r="G320" s="47" t="s">
        <v>746</v>
      </c>
      <c r="H320" s="47" t="s">
        <v>163</v>
      </c>
      <c r="I320" s="47" t="s">
        <v>135</v>
      </c>
      <c r="J320" s="47" t="s">
        <v>45</v>
      </c>
      <c r="K320" s="51">
        <v>10000000</v>
      </c>
      <c r="L320" s="47" t="s">
        <v>26</v>
      </c>
      <c r="M320" s="52">
        <f t="shared" si="6"/>
        <v>10000000</v>
      </c>
      <c r="N320" s="53">
        <v>0.15</v>
      </c>
      <c r="O320" s="47" t="s">
        <v>744</v>
      </c>
      <c r="P320" s="47" t="s">
        <v>127</v>
      </c>
      <c r="Q320" s="47" t="s">
        <v>29</v>
      </c>
    </row>
    <row r="321" hidden="1" spans="1:17">
      <c r="A321" s="47" t="s">
        <v>17</v>
      </c>
      <c r="B321" s="48" t="s">
        <v>18</v>
      </c>
      <c r="C321" s="47">
        <v>220392</v>
      </c>
      <c r="D321" s="47" t="s">
        <v>747</v>
      </c>
      <c r="E321" s="47" t="s">
        <v>172</v>
      </c>
      <c r="F321" s="49" t="s">
        <v>748</v>
      </c>
      <c r="G321" s="47" t="s">
        <v>749</v>
      </c>
      <c r="H321" s="47" t="s">
        <v>125</v>
      </c>
      <c r="I321" s="47" t="s">
        <v>135</v>
      </c>
      <c r="J321" s="47" t="s">
        <v>45</v>
      </c>
      <c r="K321" s="51">
        <v>73800000</v>
      </c>
      <c r="L321" s="47" t="s">
        <v>26</v>
      </c>
      <c r="M321" s="52">
        <f t="shared" si="6"/>
        <v>73800000</v>
      </c>
      <c r="N321" s="53">
        <v>0.07182</v>
      </c>
      <c r="O321" s="47" t="s">
        <v>744</v>
      </c>
      <c r="P321" s="47" t="s">
        <v>32</v>
      </c>
      <c r="Q321" s="47" t="s">
        <v>100</v>
      </c>
    </row>
    <row r="322" hidden="1" spans="1:17">
      <c r="A322" s="47" t="s">
        <v>17</v>
      </c>
      <c r="B322" s="48" t="s">
        <v>34</v>
      </c>
      <c r="C322" s="47">
        <v>220451</v>
      </c>
      <c r="D322" s="47" t="s">
        <v>738</v>
      </c>
      <c r="E322" s="47" t="s">
        <v>621</v>
      </c>
      <c r="F322" s="49" t="s">
        <v>750</v>
      </c>
      <c r="G322" s="47" t="s">
        <v>751</v>
      </c>
      <c r="H322" s="47" t="s">
        <v>163</v>
      </c>
      <c r="I322" s="47" t="s">
        <v>135</v>
      </c>
      <c r="J322" s="47" t="s">
        <v>25</v>
      </c>
      <c r="K322" s="51">
        <v>220000000</v>
      </c>
      <c r="L322" s="47" t="s">
        <v>26</v>
      </c>
      <c r="M322" s="52">
        <f t="shared" si="6"/>
        <v>220000000</v>
      </c>
      <c r="N322" s="53">
        <v>0.14545</v>
      </c>
      <c r="O322" s="47" t="s">
        <v>744</v>
      </c>
      <c r="P322" s="47" t="s">
        <v>170</v>
      </c>
      <c r="Q322" s="47" t="s">
        <v>209</v>
      </c>
    </row>
    <row r="323" hidden="1" spans="1:17">
      <c r="A323" s="47" t="s">
        <v>17</v>
      </c>
      <c r="B323" s="48" t="s">
        <v>40</v>
      </c>
      <c r="C323" s="47">
        <v>221826</v>
      </c>
      <c r="D323" s="47" t="s">
        <v>210</v>
      </c>
      <c r="E323" s="47" t="s">
        <v>42</v>
      </c>
      <c r="F323" s="49" t="s">
        <v>214</v>
      </c>
      <c r="G323" s="47" t="s">
        <v>752</v>
      </c>
      <c r="H323" s="47" t="s">
        <v>125</v>
      </c>
      <c r="I323" s="47" t="s">
        <v>135</v>
      </c>
      <c r="J323" s="47" t="s">
        <v>25</v>
      </c>
      <c r="K323" s="51">
        <v>6000000</v>
      </c>
      <c r="L323" s="47" t="s">
        <v>26</v>
      </c>
      <c r="M323" s="52">
        <f t="shared" si="6"/>
        <v>6000000</v>
      </c>
      <c r="N323" s="53">
        <v>0.25</v>
      </c>
      <c r="O323" s="47" t="s">
        <v>744</v>
      </c>
      <c r="P323" s="47" t="s">
        <v>753</v>
      </c>
      <c r="Q323" s="47" t="s">
        <v>33</v>
      </c>
    </row>
    <row r="324" hidden="1" spans="1:17">
      <c r="A324" s="48" t="s">
        <v>17</v>
      </c>
      <c r="B324" s="47" t="s">
        <v>241</v>
      </c>
      <c r="C324" s="47">
        <v>208535</v>
      </c>
      <c r="D324" s="47" t="s">
        <v>326</v>
      </c>
      <c r="E324" s="47" t="s">
        <v>117</v>
      </c>
      <c r="F324" s="49" t="s">
        <v>754</v>
      </c>
      <c r="G324" s="47" t="s">
        <v>755</v>
      </c>
      <c r="H324" s="47" t="s">
        <v>163</v>
      </c>
      <c r="I324" s="47" t="s">
        <v>135</v>
      </c>
      <c r="J324" s="47" t="s">
        <v>25</v>
      </c>
      <c r="K324" s="51">
        <v>4400000</v>
      </c>
      <c r="L324" s="47" t="s">
        <v>26</v>
      </c>
      <c r="M324" s="52">
        <f t="shared" si="6"/>
        <v>4400000</v>
      </c>
      <c r="N324" s="53">
        <v>0.11364</v>
      </c>
      <c r="O324" s="47" t="s">
        <v>756</v>
      </c>
      <c r="P324" s="47" t="s">
        <v>757</v>
      </c>
      <c r="Q324" s="47" t="s">
        <v>33</v>
      </c>
    </row>
    <row r="325" hidden="1" spans="1:17">
      <c r="A325" s="47" t="s">
        <v>17</v>
      </c>
      <c r="B325" s="48" t="s">
        <v>18</v>
      </c>
      <c r="C325" s="47">
        <v>212761</v>
      </c>
      <c r="D325" s="47" t="s">
        <v>171</v>
      </c>
      <c r="E325" s="47" t="s">
        <v>172</v>
      </c>
      <c r="F325" s="49" t="s">
        <v>725</v>
      </c>
      <c r="G325" s="47" t="s">
        <v>758</v>
      </c>
      <c r="H325" s="47" t="s">
        <v>134</v>
      </c>
      <c r="I325" s="47" t="s">
        <v>135</v>
      </c>
      <c r="J325" s="47" t="s">
        <v>25</v>
      </c>
      <c r="K325" s="51">
        <v>20000000</v>
      </c>
      <c r="L325" s="47" t="s">
        <v>26</v>
      </c>
      <c r="M325" s="52">
        <f t="shared" si="6"/>
        <v>20000000</v>
      </c>
      <c r="N325" s="53">
        <v>0.2</v>
      </c>
      <c r="O325" s="47" t="s">
        <v>756</v>
      </c>
      <c r="P325" s="47" t="s">
        <v>728</v>
      </c>
      <c r="Q325" s="47" t="s">
        <v>100</v>
      </c>
    </row>
    <row r="326" hidden="1" spans="1:17">
      <c r="A326" s="47" t="s">
        <v>17</v>
      </c>
      <c r="B326" s="48" t="s">
        <v>103</v>
      </c>
      <c r="C326" s="47">
        <v>212929</v>
      </c>
      <c r="D326" s="47" t="s">
        <v>326</v>
      </c>
      <c r="E326" s="47" t="s">
        <v>117</v>
      </c>
      <c r="F326" s="49" t="s">
        <v>759</v>
      </c>
      <c r="G326" s="47" t="s">
        <v>760</v>
      </c>
      <c r="H326" s="47" t="s">
        <v>163</v>
      </c>
      <c r="I326" s="47" t="s">
        <v>135</v>
      </c>
      <c r="J326" s="47" t="s">
        <v>25</v>
      </c>
      <c r="K326" s="51">
        <v>19113063.4</v>
      </c>
      <c r="L326" s="47" t="s">
        <v>26</v>
      </c>
      <c r="M326" s="52">
        <f t="shared" si="6"/>
        <v>19113063.4</v>
      </c>
      <c r="N326" s="53">
        <v>0.13672</v>
      </c>
      <c r="O326" s="47" t="s">
        <v>756</v>
      </c>
      <c r="P326" s="47" t="s">
        <v>761</v>
      </c>
      <c r="Q326" s="47" t="s">
        <v>33</v>
      </c>
    </row>
    <row r="327" hidden="1" spans="1:17">
      <c r="A327" s="47" t="s">
        <v>17</v>
      </c>
      <c r="B327" s="48" t="s">
        <v>34</v>
      </c>
      <c r="C327" s="47">
        <v>213990</v>
      </c>
      <c r="D327" s="47" t="s">
        <v>252</v>
      </c>
      <c r="E327" s="47" t="s">
        <v>36</v>
      </c>
      <c r="F327" s="49" t="s">
        <v>253</v>
      </c>
      <c r="G327" s="47" t="s">
        <v>762</v>
      </c>
      <c r="H327" s="47" t="s">
        <v>134</v>
      </c>
      <c r="I327" s="47" t="s">
        <v>135</v>
      </c>
      <c r="J327" s="47" t="s">
        <v>45</v>
      </c>
      <c r="K327" s="51">
        <v>87804878.05</v>
      </c>
      <c r="L327" s="47" t="s">
        <v>26</v>
      </c>
      <c r="M327" s="52">
        <f t="shared" si="6"/>
        <v>87804878.05</v>
      </c>
      <c r="N327" s="53">
        <v>0.18</v>
      </c>
      <c r="O327" s="47" t="s">
        <v>756</v>
      </c>
      <c r="P327" s="47" t="s">
        <v>28</v>
      </c>
      <c r="Q327" s="47" t="s">
        <v>100</v>
      </c>
    </row>
    <row r="328" hidden="1" spans="1:17">
      <c r="A328" s="47" t="s">
        <v>17</v>
      </c>
      <c r="B328" s="48" t="s">
        <v>18</v>
      </c>
      <c r="C328" s="47">
        <v>215841</v>
      </c>
      <c r="D328" s="47" t="s">
        <v>747</v>
      </c>
      <c r="E328" s="47" t="s">
        <v>172</v>
      </c>
      <c r="F328" s="49" t="s">
        <v>763</v>
      </c>
      <c r="G328" s="47" t="s">
        <v>764</v>
      </c>
      <c r="H328" s="47" t="s">
        <v>134</v>
      </c>
      <c r="I328" s="47" t="s">
        <v>135</v>
      </c>
      <c r="J328" s="47" t="s">
        <v>45</v>
      </c>
      <c r="K328" s="54"/>
      <c r="L328" s="47" t="s">
        <v>26</v>
      </c>
      <c r="M328" s="52">
        <f t="shared" si="6"/>
        <v>0</v>
      </c>
      <c r="N328" s="54"/>
      <c r="O328" s="47" t="s">
        <v>756</v>
      </c>
      <c r="P328" s="47" t="s">
        <v>517</v>
      </c>
      <c r="Q328" s="47" t="s">
        <v>29</v>
      </c>
    </row>
    <row r="329" hidden="1" spans="1:17">
      <c r="A329" s="47" t="s">
        <v>17</v>
      </c>
      <c r="B329" s="48" t="s">
        <v>40</v>
      </c>
      <c r="C329" s="47">
        <v>216420</v>
      </c>
      <c r="D329" s="47" t="s">
        <v>41</v>
      </c>
      <c r="E329" s="47" t="s">
        <v>42</v>
      </c>
      <c r="F329" s="49" t="s">
        <v>765</v>
      </c>
      <c r="G329" s="47" t="s">
        <v>766</v>
      </c>
      <c r="H329" s="47" t="s">
        <v>134</v>
      </c>
      <c r="I329" s="47" t="s">
        <v>135</v>
      </c>
      <c r="J329" s="47" t="s">
        <v>45</v>
      </c>
      <c r="K329" s="51">
        <v>30000000</v>
      </c>
      <c r="L329" s="47" t="s">
        <v>26</v>
      </c>
      <c r="M329" s="52">
        <f t="shared" si="6"/>
        <v>30000000</v>
      </c>
      <c r="N329" s="53">
        <v>0.15</v>
      </c>
      <c r="O329" s="47" t="s">
        <v>756</v>
      </c>
      <c r="P329" s="47" t="s">
        <v>270</v>
      </c>
      <c r="Q329" s="47" t="s">
        <v>259</v>
      </c>
    </row>
    <row r="330" hidden="1" spans="1:17">
      <c r="A330" s="47" t="s">
        <v>17</v>
      </c>
      <c r="B330" s="48" t="s">
        <v>103</v>
      </c>
      <c r="C330" s="47">
        <v>219039</v>
      </c>
      <c r="D330" s="47" t="s">
        <v>160</v>
      </c>
      <c r="E330" s="47" t="s">
        <v>117</v>
      </c>
      <c r="F330" s="49" t="s">
        <v>767</v>
      </c>
      <c r="G330" s="47" t="s">
        <v>768</v>
      </c>
      <c r="H330" s="47" t="s">
        <v>134</v>
      </c>
      <c r="I330" s="47" t="s">
        <v>135</v>
      </c>
      <c r="J330" s="47" t="s">
        <v>45</v>
      </c>
      <c r="K330" s="51">
        <v>200000000</v>
      </c>
      <c r="L330" s="47" t="s">
        <v>26</v>
      </c>
      <c r="M330" s="52">
        <f t="shared" si="6"/>
        <v>200000000</v>
      </c>
      <c r="N330" s="54"/>
      <c r="O330" s="47" t="s">
        <v>756</v>
      </c>
      <c r="P330" s="47" t="s">
        <v>769</v>
      </c>
      <c r="Q330" s="47" t="s">
        <v>259</v>
      </c>
    </row>
    <row r="331" hidden="1" spans="1:17">
      <c r="A331" s="47" t="s">
        <v>17</v>
      </c>
      <c r="B331" s="48" t="s">
        <v>103</v>
      </c>
      <c r="C331" s="47">
        <v>219042</v>
      </c>
      <c r="D331" s="47" t="s">
        <v>326</v>
      </c>
      <c r="E331" s="47" t="s">
        <v>117</v>
      </c>
      <c r="F331" s="49" t="s">
        <v>327</v>
      </c>
      <c r="G331" s="47" t="s">
        <v>770</v>
      </c>
      <c r="H331" s="47" t="s">
        <v>125</v>
      </c>
      <c r="I331" s="47" t="s">
        <v>135</v>
      </c>
      <c r="J331" s="47" t="s">
        <v>25</v>
      </c>
      <c r="K331" s="51">
        <v>4400000</v>
      </c>
      <c r="L331" s="47" t="s">
        <v>26</v>
      </c>
      <c r="M331" s="52">
        <f t="shared" si="6"/>
        <v>4400000</v>
      </c>
      <c r="N331" s="53">
        <v>0.20455</v>
      </c>
      <c r="O331" s="47" t="s">
        <v>756</v>
      </c>
      <c r="P331" s="47" t="s">
        <v>769</v>
      </c>
      <c r="Q331" s="47" t="s">
        <v>29</v>
      </c>
    </row>
    <row r="332" hidden="1" spans="1:17">
      <c r="A332" s="47" t="s">
        <v>17</v>
      </c>
      <c r="B332" s="48" t="s">
        <v>103</v>
      </c>
      <c r="C332" s="47">
        <v>219043</v>
      </c>
      <c r="D332" s="47" t="s">
        <v>326</v>
      </c>
      <c r="E332" s="47" t="s">
        <v>117</v>
      </c>
      <c r="F332" s="49" t="s">
        <v>327</v>
      </c>
      <c r="G332" s="47" t="s">
        <v>771</v>
      </c>
      <c r="H332" s="47" t="s">
        <v>125</v>
      </c>
      <c r="I332" s="47" t="s">
        <v>135</v>
      </c>
      <c r="J332" s="47" t="s">
        <v>25</v>
      </c>
      <c r="K332" s="51">
        <v>3000000</v>
      </c>
      <c r="L332" s="47" t="s">
        <v>26</v>
      </c>
      <c r="M332" s="52">
        <f t="shared" si="6"/>
        <v>3000000</v>
      </c>
      <c r="N332" s="53">
        <v>0.16667</v>
      </c>
      <c r="O332" s="47" t="s">
        <v>756</v>
      </c>
      <c r="P332" s="47" t="s">
        <v>769</v>
      </c>
      <c r="Q332" s="47" t="s">
        <v>29</v>
      </c>
    </row>
    <row r="333" hidden="1" spans="1:17">
      <c r="A333" s="47" t="s">
        <v>17</v>
      </c>
      <c r="B333" s="48" t="s">
        <v>68</v>
      </c>
      <c r="C333" s="47">
        <v>220001</v>
      </c>
      <c r="D333" s="47" t="s">
        <v>69</v>
      </c>
      <c r="E333" s="47" t="s">
        <v>70</v>
      </c>
      <c r="F333" s="49" t="s">
        <v>184</v>
      </c>
      <c r="G333" s="47" t="s">
        <v>772</v>
      </c>
      <c r="H333" s="47" t="s">
        <v>125</v>
      </c>
      <c r="I333" s="47" t="s">
        <v>126</v>
      </c>
      <c r="J333" s="47" t="s">
        <v>25</v>
      </c>
      <c r="K333" s="51">
        <v>2954545.45</v>
      </c>
      <c r="L333" s="47" t="s">
        <v>26</v>
      </c>
      <c r="M333" s="52">
        <f t="shared" si="6"/>
        <v>2954545.45</v>
      </c>
      <c r="N333" s="53">
        <v>0.12</v>
      </c>
      <c r="O333" s="47" t="s">
        <v>756</v>
      </c>
      <c r="P333" s="47" t="s">
        <v>203</v>
      </c>
      <c r="Q333" s="47" t="s">
        <v>33</v>
      </c>
    </row>
    <row r="334" hidden="1" spans="1:17">
      <c r="A334" s="47" t="s">
        <v>17</v>
      </c>
      <c r="B334" s="48" t="s">
        <v>68</v>
      </c>
      <c r="C334" s="47">
        <v>220009</v>
      </c>
      <c r="D334" s="47" t="s">
        <v>69</v>
      </c>
      <c r="E334" s="47" t="s">
        <v>70</v>
      </c>
      <c r="F334" s="49" t="s">
        <v>572</v>
      </c>
      <c r="G334" s="47" t="s">
        <v>773</v>
      </c>
      <c r="H334" s="47" t="s">
        <v>163</v>
      </c>
      <c r="I334" s="47" t="s">
        <v>126</v>
      </c>
      <c r="J334" s="47" t="s">
        <v>25</v>
      </c>
      <c r="K334" s="51">
        <v>5000000</v>
      </c>
      <c r="L334" s="47" t="s">
        <v>26</v>
      </c>
      <c r="M334" s="52">
        <f t="shared" si="6"/>
        <v>5000000</v>
      </c>
      <c r="N334" s="53">
        <v>0.12</v>
      </c>
      <c r="O334" s="47" t="s">
        <v>756</v>
      </c>
      <c r="P334" s="47" t="s">
        <v>203</v>
      </c>
      <c r="Q334" s="47" t="s">
        <v>33</v>
      </c>
    </row>
    <row r="335" hidden="1" spans="1:17">
      <c r="A335" s="47" t="s">
        <v>17</v>
      </c>
      <c r="B335" s="48" t="s">
        <v>68</v>
      </c>
      <c r="C335" s="47">
        <v>220028</v>
      </c>
      <c r="D335" s="47" t="s">
        <v>632</v>
      </c>
      <c r="E335" s="47" t="s">
        <v>70</v>
      </c>
      <c r="F335" s="49" t="s">
        <v>774</v>
      </c>
      <c r="G335" s="47" t="s">
        <v>775</v>
      </c>
      <c r="H335" s="47" t="s">
        <v>163</v>
      </c>
      <c r="I335" s="47" t="s">
        <v>135</v>
      </c>
      <c r="J335" s="47" t="s">
        <v>25</v>
      </c>
      <c r="K335" s="51">
        <v>50000000</v>
      </c>
      <c r="L335" s="47" t="s">
        <v>26</v>
      </c>
      <c r="M335" s="52">
        <f t="shared" si="6"/>
        <v>50000000</v>
      </c>
      <c r="N335" s="53">
        <v>0.14</v>
      </c>
      <c r="O335" s="47" t="s">
        <v>756</v>
      </c>
      <c r="P335" s="47" t="s">
        <v>373</v>
      </c>
      <c r="Q335" s="47" t="s">
        <v>33</v>
      </c>
    </row>
    <row r="336" hidden="1" spans="1:17">
      <c r="A336" s="47" t="s">
        <v>17</v>
      </c>
      <c r="B336" s="48" t="s">
        <v>18</v>
      </c>
      <c r="C336" s="47">
        <v>220491</v>
      </c>
      <c r="D336" s="47" t="s">
        <v>275</v>
      </c>
      <c r="E336" s="47" t="s">
        <v>20</v>
      </c>
      <c r="F336" s="49" t="s">
        <v>776</v>
      </c>
      <c r="G336" s="47" t="s">
        <v>777</v>
      </c>
      <c r="H336" s="47" t="s">
        <v>134</v>
      </c>
      <c r="I336" s="47" t="s">
        <v>135</v>
      </c>
      <c r="J336" s="47" t="s">
        <v>25</v>
      </c>
      <c r="K336" s="51">
        <v>220000000</v>
      </c>
      <c r="L336" s="47" t="s">
        <v>26</v>
      </c>
      <c r="M336" s="52">
        <f t="shared" si="6"/>
        <v>220000000</v>
      </c>
      <c r="N336" s="53">
        <v>0</v>
      </c>
      <c r="O336" s="47" t="s">
        <v>756</v>
      </c>
      <c r="P336" s="47" t="s">
        <v>170</v>
      </c>
      <c r="Q336" s="47" t="s">
        <v>33</v>
      </c>
    </row>
    <row r="337" hidden="1" spans="1:17">
      <c r="A337" s="47" t="s">
        <v>17</v>
      </c>
      <c r="B337" s="48" t="s">
        <v>18</v>
      </c>
      <c r="C337" s="47">
        <v>220495</v>
      </c>
      <c r="D337" s="47" t="s">
        <v>275</v>
      </c>
      <c r="E337" s="47" t="s">
        <v>20</v>
      </c>
      <c r="F337" s="49" t="s">
        <v>376</v>
      </c>
      <c r="G337" s="47" t="s">
        <v>778</v>
      </c>
      <c r="H337" s="47" t="s">
        <v>149</v>
      </c>
      <c r="I337" s="47" t="s">
        <v>126</v>
      </c>
      <c r="J337" s="47" t="s">
        <v>25</v>
      </c>
      <c r="K337" s="51">
        <v>5000000</v>
      </c>
      <c r="L337" s="47" t="s">
        <v>26</v>
      </c>
      <c r="M337" s="52">
        <f t="shared" si="6"/>
        <v>5000000</v>
      </c>
      <c r="N337" s="53">
        <v>0.16</v>
      </c>
      <c r="O337" s="47" t="s">
        <v>756</v>
      </c>
      <c r="P337" s="47" t="s">
        <v>170</v>
      </c>
      <c r="Q337" s="47" t="s">
        <v>29</v>
      </c>
    </row>
    <row r="338" hidden="1" spans="1:17">
      <c r="A338" s="47" t="s">
        <v>17</v>
      </c>
      <c r="B338" s="48" t="s">
        <v>18</v>
      </c>
      <c r="C338" s="47">
        <v>220455</v>
      </c>
      <c r="D338" s="47" t="s">
        <v>171</v>
      </c>
      <c r="E338" s="47" t="s">
        <v>172</v>
      </c>
      <c r="F338" s="49" t="s">
        <v>725</v>
      </c>
      <c r="G338" s="47" t="s">
        <v>779</v>
      </c>
      <c r="H338" s="47" t="s">
        <v>134</v>
      </c>
      <c r="I338" s="47" t="s">
        <v>135</v>
      </c>
      <c r="J338" s="47" t="s">
        <v>25</v>
      </c>
      <c r="K338" s="51">
        <v>5000000</v>
      </c>
      <c r="L338" s="47" t="s">
        <v>26</v>
      </c>
      <c r="M338" s="52">
        <f t="shared" si="6"/>
        <v>5000000</v>
      </c>
      <c r="N338" s="53">
        <v>0.2</v>
      </c>
      <c r="O338" s="47" t="s">
        <v>756</v>
      </c>
      <c r="P338" s="47" t="s">
        <v>170</v>
      </c>
      <c r="Q338" s="47" t="s">
        <v>259</v>
      </c>
    </row>
    <row r="339" hidden="1" spans="1:17">
      <c r="A339" s="47" t="s">
        <v>17</v>
      </c>
      <c r="B339" s="48" t="s">
        <v>18</v>
      </c>
      <c r="C339" s="47">
        <v>220496</v>
      </c>
      <c r="D339" s="47" t="s">
        <v>275</v>
      </c>
      <c r="E339" s="47" t="s">
        <v>20</v>
      </c>
      <c r="F339" s="49" t="s">
        <v>376</v>
      </c>
      <c r="G339" s="47" t="s">
        <v>780</v>
      </c>
      <c r="H339" s="47" t="s">
        <v>85</v>
      </c>
      <c r="I339" s="47" t="s">
        <v>86</v>
      </c>
      <c r="J339" s="47" t="s">
        <v>25</v>
      </c>
      <c r="K339" s="51">
        <v>9750000</v>
      </c>
      <c r="L339" s="47" t="s">
        <v>26</v>
      </c>
      <c r="M339" s="52">
        <f t="shared" si="6"/>
        <v>9750000</v>
      </c>
      <c r="N339" s="53">
        <v>0.02564</v>
      </c>
      <c r="O339" s="47" t="s">
        <v>756</v>
      </c>
      <c r="P339" s="47" t="s">
        <v>170</v>
      </c>
      <c r="Q339" s="47" t="s">
        <v>29</v>
      </c>
    </row>
    <row r="340" hidden="1" spans="1:17">
      <c r="A340" s="47" t="s">
        <v>17</v>
      </c>
      <c r="B340" s="48" t="s">
        <v>18</v>
      </c>
      <c r="C340" s="47">
        <v>220497</v>
      </c>
      <c r="D340" s="47" t="s">
        <v>275</v>
      </c>
      <c r="E340" s="47" t="s">
        <v>20</v>
      </c>
      <c r="F340" s="49" t="s">
        <v>376</v>
      </c>
      <c r="G340" s="47" t="s">
        <v>781</v>
      </c>
      <c r="H340" s="47" t="s">
        <v>149</v>
      </c>
      <c r="I340" s="47" t="s">
        <v>126</v>
      </c>
      <c r="J340" s="47" t="s">
        <v>25</v>
      </c>
      <c r="K340" s="51">
        <v>7500000</v>
      </c>
      <c r="L340" s="47" t="s">
        <v>26</v>
      </c>
      <c r="M340" s="52">
        <f t="shared" si="6"/>
        <v>7500000</v>
      </c>
      <c r="N340" s="53">
        <v>0.13333</v>
      </c>
      <c r="O340" s="47" t="s">
        <v>756</v>
      </c>
      <c r="P340" s="47" t="s">
        <v>170</v>
      </c>
      <c r="Q340" s="47" t="s">
        <v>33</v>
      </c>
    </row>
    <row r="341" hidden="1" spans="1:17">
      <c r="A341" s="47" t="s">
        <v>17</v>
      </c>
      <c r="B341" s="48" t="s">
        <v>103</v>
      </c>
      <c r="C341" s="47">
        <v>220646</v>
      </c>
      <c r="D341" s="47" t="s">
        <v>140</v>
      </c>
      <c r="E341" s="47" t="s">
        <v>117</v>
      </c>
      <c r="F341" s="49" t="s">
        <v>782</v>
      </c>
      <c r="G341" s="47" t="s">
        <v>783</v>
      </c>
      <c r="H341" s="47" t="s">
        <v>163</v>
      </c>
      <c r="I341" s="47" t="s">
        <v>135</v>
      </c>
      <c r="J341" s="47" t="s">
        <v>25</v>
      </c>
      <c r="K341" s="51">
        <v>70000000</v>
      </c>
      <c r="L341" s="47" t="s">
        <v>26</v>
      </c>
      <c r="M341" s="52">
        <f t="shared" si="6"/>
        <v>70000000</v>
      </c>
      <c r="N341" s="53">
        <v>0.14286</v>
      </c>
      <c r="O341" s="47" t="s">
        <v>756</v>
      </c>
      <c r="P341" s="47" t="s">
        <v>784</v>
      </c>
      <c r="Q341" s="47" t="s">
        <v>259</v>
      </c>
    </row>
    <row r="342" hidden="1" spans="1:17">
      <c r="A342" s="47" t="s">
        <v>17</v>
      </c>
      <c r="B342" s="48" t="s">
        <v>68</v>
      </c>
      <c r="C342" s="47">
        <v>220673</v>
      </c>
      <c r="D342" s="47" t="s">
        <v>281</v>
      </c>
      <c r="E342" s="47" t="s">
        <v>70</v>
      </c>
      <c r="F342" s="49" t="s">
        <v>492</v>
      </c>
      <c r="G342" s="47" t="s">
        <v>785</v>
      </c>
      <c r="H342" s="47" t="s">
        <v>134</v>
      </c>
      <c r="I342" s="47" t="s">
        <v>135</v>
      </c>
      <c r="J342" s="47" t="s">
        <v>741</v>
      </c>
      <c r="K342" s="51">
        <v>40000000</v>
      </c>
      <c r="L342" s="47" t="s">
        <v>26</v>
      </c>
      <c r="M342" s="52">
        <f t="shared" si="6"/>
        <v>40000000</v>
      </c>
      <c r="N342" s="53">
        <v>0.125</v>
      </c>
      <c r="O342" s="47" t="s">
        <v>756</v>
      </c>
      <c r="P342" s="47" t="s">
        <v>428</v>
      </c>
      <c r="Q342" s="47" t="s">
        <v>29</v>
      </c>
    </row>
    <row r="343" hidden="1" spans="1:17">
      <c r="A343" s="47" t="s">
        <v>17</v>
      </c>
      <c r="B343" s="48" t="s">
        <v>68</v>
      </c>
      <c r="C343" s="47">
        <v>220712</v>
      </c>
      <c r="D343" s="47" t="s">
        <v>281</v>
      </c>
      <c r="E343" s="47" t="s">
        <v>70</v>
      </c>
      <c r="F343" s="49" t="s">
        <v>786</v>
      </c>
      <c r="G343" s="47" t="s">
        <v>787</v>
      </c>
      <c r="H343" s="47" t="s">
        <v>134</v>
      </c>
      <c r="I343" s="47" t="s">
        <v>135</v>
      </c>
      <c r="J343" s="47" t="s">
        <v>25</v>
      </c>
      <c r="K343" s="51">
        <v>5000000</v>
      </c>
      <c r="L343" s="47" t="s">
        <v>26</v>
      </c>
      <c r="M343" s="52">
        <f t="shared" si="6"/>
        <v>5000000</v>
      </c>
      <c r="N343" s="54"/>
      <c r="O343" s="47" t="s">
        <v>756</v>
      </c>
      <c r="P343" s="47" t="s">
        <v>219</v>
      </c>
      <c r="Q343" s="47" t="s">
        <v>209</v>
      </c>
    </row>
    <row r="344" hidden="1" spans="1:17">
      <c r="A344" s="47" t="s">
        <v>17</v>
      </c>
      <c r="B344" s="48" t="s">
        <v>18</v>
      </c>
      <c r="C344" s="47">
        <v>220812</v>
      </c>
      <c r="D344" s="47" t="s">
        <v>275</v>
      </c>
      <c r="E344" s="47" t="s">
        <v>20</v>
      </c>
      <c r="F344" s="49" t="s">
        <v>376</v>
      </c>
      <c r="G344" s="47" t="s">
        <v>788</v>
      </c>
      <c r="H344" s="47" t="s">
        <v>149</v>
      </c>
      <c r="I344" s="47" t="s">
        <v>126</v>
      </c>
      <c r="J344" s="47" t="s">
        <v>62</v>
      </c>
      <c r="K344" s="51">
        <v>12000000</v>
      </c>
      <c r="L344" s="47" t="s">
        <v>26</v>
      </c>
      <c r="M344" s="52">
        <f t="shared" si="6"/>
        <v>12000000</v>
      </c>
      <c r="N344" s="53">
        <v>0.125</v>
      </c>
      <c r="O344" s="47" t="s">
        <v>756</v>
      </c>
      <c r="P344" s="47" t="s">
        <v>77</v>
      </c>
      <c r="Q344" s="47" t="s">
        <v>209</v>
      </c>
    </row>
    <row r="345" hidden="1" spans="1:17">
      <c r="A345" s="47" t="s">
        <v>17</v>
      </c>
      <c r="B345" s="48" t="s">
        <v>18</v>
      </c>
      <c r="C345" s="47">
        <v>220808</v>
      </c>
      <c r="D345" s="47" t="s">
        <v>275</v>
      </c>
      <c r="E345" s="47" t="s">
        <v>20</v>
      </c>
      <c r="F345" s="49" t="s">
        <v>376</v>
      </c>
      <c r="G345" s="47" t="s">
        <v>789</v>
      </c>
      <c r="H345" s="47" t="s">
        <v>149</v>
      </c>
      <c r="I345" s="47" t="s">
        <v>126</v>
      </c>
      <c r="J345" s="47" t="s">
        <v>62</v>
      </c>
      <c r="K345" s="51">
        <v>2999999.99988462</v>
      </c>
      <c r="L345" s="47" t="s">
        <v>26</v>
      </c>
      <c r="M345" s="52">
        <f t="shared" si="6"/>
        <v>2999999.99988462</v>
      </c>
      <c r="N345" s="53">
        <v>0.13333</v>
      </c>
      <c r="O345" s="47" t="s">
        <v>756</v>
      </c>
      <c r="P345" s="47" t="s">
        <v>77</v>
      </c>
      <c r="Q345" s="47" t="s">
        <v>209</v>
      </c>
    </row>
    <row r="346" hidden="1" spans="1:17">
      <c r="A346" s="47" t="s">
        <v>17</v>
      </c>
      <c r="B346" s="48" t="s">
        <v>18</v>
      </c>
      <c r="C346" s="47">
        <v>220813</v>
      </c>
      <c r="D346" s="47" t="s">
        <v>275</v>
      </c>
      <c r="E346" s="47" t="s">
        <v>20</v>
      </c>
      <c r="F346" s="49" t="s">
        <v>376</v>
      </c>
      <c r="G346" s="47" t="s">
        <v>790</v>
      </c>
      <c r="H346" s="47" t="s">
        <v>149</v>
      </c>
      <c r="I346" s="47" t="s">
        <v>126</v>
      </c>
      <c r="J346" s="47" t="s">
        <v>62</v>
      </c>
      <c r="K346" s="51">
        <v>8000000</v>
      </c>
      <c r="L346" s="47" t="s">
        <v>26</v>
      </c>
      <c r="M346" s="52">
        <f t="shared" si="6"/>
        <v>8000000</v>
      </c>
      <c r="N346" s="53">
        <v>0.0875</v>
      </c>
      <c r="O346" s="47" t="s">
        <v>756</v>
      </c>
      <c r="P346" s="47" t="s">
        <v>77</v>
      </c>
      <c r="Q346" s="47" t="s">
        <v>209</v>
      </c>
    </row>
    <row r="347" hidden="1" spans="1:17">
      <c r="A347" s="47" t="s">
        <v>17</v>
      </c>
      <c r="B347" s="48" t="s">
        <v>34</v>
      </c>
      <c r="C347" s="47">
        <v>220894</v>
      </c>
      <c r="D347" s="47" t="s">
        <v>252</v>
      </c>
      <c r="E347" s="47" t="s">
        <v>36</v>
      </c>
      <c r="F347" s="49" t="s">
        <v>341</v>
      </c>
      <c r="G347" s="47" t="s">
        <v>791</v>
      </c>
      <c r="H347" s="47" t="s">
        <v>134</v>
      </c>
      <c r="I347" s="47" t="s">
        <v>135</v>
      </c>
      <c r="J347" s="47" t="s">
        <v>45</v>
      </c>
      <c r="K347" s="51">
        <v>2500000</v>
      </c>
      <c r="L347" s="47" t="s">
        <v>26</v>
      </c>
      <c r="M347" s="52">
        <f t="shared" si="6"/>
        <v>2500000</v>
      </c>
      <c r="N347" s="53">
        <v>0.24</v>
      </c>
      <c r="O347" s="47" t="s">
        <v>756</v>
      </c>
      <c r="P347" s="47" t="s">
        <v>292</v>
      </c>
      <c r="Q347" s="47" t="s">
        <v>29</v>
      </c>
    </row>
    <row r="348" hidden="1" spans="1:17">
      <c r="A348" s="47" t="s">
        <v>17</v>
      </c>
      <c r="B348" s="48" t="s">
        <v>18</v>
      </c>
      <c r="C348" s="47">
        <v>222448</v>
      </c>
      <c r="D348" s="47" t="s">
        <v>747</v>
      </c>
      <c r="E348" s="47" t="s">
        <v>172</v>
      </c>
      <c r="F348" s="49" t="s">
        <v>312</v>
      </c>
      <c r="G348" s="47" t="s">
        <v>792</v>
      </c>
      <c r="H348" s="47" t="s">
        <v>125</v>
      </c>
      <c r="I348" s="47" t="s">
        <v>135</v>
      </c>
      <c r="J348" s="47" t="s">
        <v>45</v>
      </c>
      <c r="K348" s="51">
        <v>25000000</v>
      </c>
      <c r="L348" s="47" t="s">
        <v>26</v>
      </c>
      <c r="M348" s="52">
        <f t="shared" si="6"/>
        <v>25000000</v>
      </c>
      <c r="N348" s="53">
        <v>0.26</v>
      </c>
      <c r="O348" s="47" t="s">
        <v>756</v>
      </c>
      <c r="P348" s="47" t="s">
        <v>793</v>
      </c>
      <c r="Q348" s="47" t="s">
        <v>100</v>
      </c>
    </row>
    <row r="349" hidden="1" spans="1:17">
      <c r="A349" s="47" t="s">
        <v>17</v>
      </c>
      <c r="B349" s="48" t="s">
        <v>68</v>
      </c>
      <c r="C349" s="47">
        <v>222499</v>
      </c>
      <c r="D349" s="47" t="s">
        <v>69</v>
      </c>
      <c r="E349" s="47" t="s">
        <v>70</v>
      </c>
      <c r="F349" s="49" t="s">
        <v>794</v>
      </c>
      <c r="G349" s="47" t="s">
        <v>795</v>
      </c>
      <c r="H349" s="47" t="s">
        <v>134</v>
      </c>
      <c r="I349" s="47" t="s">
        <v>135</v>
      </c>
      <c r="J349" s="47" t="s">
        <v>25</v>
      </c>
      <c r="K349" s="51">
        <v>10000000</v>
      </c>
      <c r="L349" s="47" t="s">
        <v>26</v>
      </c>
      <c r="M349" s="52">
        <f t="shared" si="6"/>
        <v>10000000</v>
      </c>
      <c r="N349" s="53">
        <v>0.14</v>
      </c>
      <c r="O349" s="47" t="s">
        <v>756</v>
      </c>
      <c r="P349" s="47" t="s">
        <v>180</v>
      </c>
      <c r="Q349" s="47" t="s">
        <v>33</v>
      </c>
    </row>
    <row r="350" hidden="1" spans="1:17">
      <c r="A350" s="47" t="s">
        <v>17</v>
      </c>
      <c r="B350" s="48" t="s">
        <v>68</v>
      </c>
      <c r="C350" s="47">
        <v>222507</v>
      </c>
      <c r="D350" s="47" t="s">
        <v>69</v>
      </c>
      <c r="E350" s="47" t="s">
        <v>70</v>
      </c>
      <c r="F350" s="49" t="s">
        <v>273</v>
      </c>
      <c r="G350" s="47" t="s">
        <v>796</v>
      </c>
      <c r="H350" s="47" t="s">
        <v>134</v>
      </c>
      <c r="I350" s="47" t="s">
        <v>135</v>
      </c>
      <c r="J350" s="47" t="s">
        <v>25</v>
      </c>
      <c r="K350" s="51">
        <v>1500000</v>
      </c>
      <c r="L350" s="47" t="s">
        <v>26</v>
      </c>
      <c r="M350" s="52">
        <f t="shared" si="6"/>
        <v>1500000</v>
      </c>
      <c r="N350" s="53">
        <v>0.2</v>
      </c>
      <c r="O350" s="47" t="s">
        <v>756</v>
      </c>
      <c r="P350" s="47" t="s">
        <v>180</v>
      </c>
      <c r="Q350" s="47" t="s">
        <v>209</v>
      </c>
    </row>
    <row r="351" hidden="1" spans="1:17">
      <c r="A351" s="47" t="s">
        <v>17</v>
      </c>
      <c r="B351" s="48" t="s">
        <v>68</v>
      </c>
      <c r="C351" s="47">
        <v>222701</v>
      </c>
      <c r="D351" s="47" t="s">
        <v>69</v>
      </c>
      <c r="E351" s="47" t="s">
        <v>70</v>
      </c>
      <c r="F351" s="49" t="s">
        <v>797</v>
      </c>
      <c r="G351" s="47" t="s">
        <v>798</v>
      </c>
      <c r="H351" s="47" t="s">
        <v>163</v>
      </c>
      <c r="I351" s="47" t="s">
        <v>135</v>
      </c>
      <c r="J351" s="47" t="s">
        <v>25</v>
      </c>
      <c r="K351" s="51">
        <v>1000000</v>
      </c>
      <c r="L351" s="47" t="s">
        <v>26</v>
      </c>
      <c r="M351" s="52">
        <f t="shared" si="6"/>
        <v>1000000</v>
      </c>
      <c r="N351" s="53">
        <v>0.125</v>
      </c>
      <c r="O351" s="47" t="s">
        <v>756</v>
      </c>
      <c r="P351" s="47" t="s">
        <v>183</v>
      </c>
      <c r="Q351" s="47" t="s">
        <v>33</v>
      </c>
    </row>
    <row r="352" hidden="1" spans="1:17">
      <c r="A352" s="47" t="s">
        <v>17</v>
      </c>
      <c r="B352" s="48" t="s">
        <v>68</v>
      </c>
      <c r="C352" s="47">
        <v>222715</v>
      </c>
      <c r="D352" s="47" t="s">
        <v>69</v>
      </c>
      <c r="E352" s="47" t="s">
        <v>70</v>
      </c>
      <c r="F352" s="49" t="s">
        <v>273</v>
      </c>
      <c r="G352" s="47" t="s">
        <v>799</v>
      </c>
      <c r="H352" s="47" t="s">
        <v>163</v>
      </c>
      <c r="I352" s="47" t="s">
        <v>135</v>
      </c>
      <c r="J352" s="47" t="s">
        <v>73</v>
      </c>
      <c r="K352" s="51">
        <v>1500000</v>
      </c>
      <c r="L352" s="47" t="s">
        <v>26</v>
      </c>
      <c r="M352" s="52">
        <f t="shared" si="6"/>
        <v>1500000</v>
      </c>
      <c r="N352" s="53">
        <v>0.12</v>
      </c>
      <c r="O352" s="47" t="s">
        <v>756</v>
      </c>
      <c r="P352" s="47" t="s">
        <v>183</v>
      </c>
      <c r="Q352" s="47" t="s">
        <v>33</v>
      </c>
    </row>
    <row r="353" hidden="1" spans="1:17">
      <c r="A353" s="47" t="s">
        <v>17</v>
      </c>
      <c r="B353" s="48" t="s">
        <v>103</v>
      </c>
      <c r="C353" s="47">
        <v>222881</v>
      </c>
      <c r="D353" s="47" t="s">
        <v>301</v>
      </c>
      <c r="E353" s="47" t="s">
        <v>129</v>
      </c>
      <c r="F353" s="49" t="s">
        <v>535</v>
      </c>
      <c r="G353" s="47" t="s">
        <v>800</v>
      </c>
      <c r="H353" s="47" t="s">
        <v>134</v>
      </c>
      <c r="I353" s="47" t="s">
        <v>135</v>
      </c>
      <c r="J353" s="47" t="s">
        <v>25</v>
      </c>
      <c r="K353" s="51">
        <v>9955479.45</v>
      </c>
      <c r="L353" s="47" t="s">
        <v>26</v>
      </c>
      <c r="M353" s="52">
        <f t="shared" si="6"/>
        <v>9955479.45</v>
      </c>
      <c r="N353" s="53">
        <v>0.14118</v>
      </c>
      <c r="O353" s="47" t="s">
        <v>756</v>
      </c>
      <c r="P353" s="47" t="s">
        <v>304</v>
      </c>
      <c r="Q353" s="47" t="s">
        <v>29</v>
      </c>
    </row>
    <row r="354" hidden="1" spans="1:17">
      <c r="A354" s="47" t="s">
        <v>17</v>
      </c>
      <c r="B354" s="48" t="s">
        <v>103</v>
      </c>
      <c r="C354" s="47">
        <v>222879</v>
      </c>
      <c r="D354" s="47" t="s">
        <v>301</v>
      </c>
      <c r="E354" s="47" t="s">
        <v>129</v>
      </c>
      <c r="F354" s="49" t="s">
        <v>302</v>
      </c>
      <c r="G354" s="47" t="s">
        <v>801</v>
      </c>
      <c r="H354" s="47" t="s">
        <v>125</v>
      </c>
      <c r="I354" s="47" t="s">
        <v>135</v>
      </c>
      <c r="J354" s="47" t="s">
        <v>73</v>
      </c>
      <c r="K354" s="51">
        <v>4500000.00023684</v>
      </c>
      <c r="L354" s="47" t="s">
        <v>26</v>
      </c>
      <c r="M354" s="52">
        <f t="shared" si="6"/>
        <v>4500000.00023684</v>
      </c>
      <c r="N354" s="53">
        <v>0.15556</v>
      </c>
      <c r="O354" s="47" t="s">
        <v>756</v>
      </c>
      <c r="P354" s="47" t="s">
        <v>304</v>
      </c>
      <c r="Q354" s="47" t="s">
        <v>29</v>
      </c>
    </row>
    <row r="355" hidden="1" spans="1:17">
      <c r="A355" s="47" t="s">
        <v>17</v>
      </c>
      <c r="B355" s="48" t="s">
        <v>103</v>
      </c>
      <c r="C355" s="47">
        <v>222882</v>
      </c>
      <c r="D355" s="47" t="s">
        <v>301</v>
      </c>
      <c r="E355" s="47" t="s">
        <v>129</v>
      </c>
      <c r="F355" s="49" t="s">
        <v>535</v>
      </c>
      <c r="G355" s="47" t="s">
        <v>802</v>
      </c>
      <c r="H355" s="47" t="s">
        <v>163</v>
      </c>
      <c r="I355" s="47" t="s">
        <v>135</v>
      </c>
      <c r="J355" s="47" t="s">
        <v>25</v>
      </c>
      <c r="K355" s="51">
        <v>5000000</v>
      </c>
      <c r="L355" s="47" t="s">
        <v>26</v>
      </c>
      <c r="M355" s="52">
        <f t="shared" si="6"/>
        <v>5000000</v>
      </c>
      <c r="N355" s="53">
        <v>0.14</v>
      </c>
      <c r="O355" s="47" t="s">
        <v>756</v>
      </c>
      <c r="P355" s="47" t="s">
        <v>304</v>
      </c>
      <c r="Q355" s="47" t="s">
        <v>29</v>
      </c>
    </row>
    <row r="356" hidden="1" spans="1:17">
      <c r="A356" s="47" t="s">
        <v>17</v>
      </c>
      <c r="B356" s="48" t="s">
        <v>103</v>
      </c>
      <c r="C356" s="47">
        <v>223066</v>
      </c>
      <c r="D356" s="47" t="s">
        <v>326</v>
      </c>
      <c r="E356" s="47" t="s">
        <v>117</v>
      </c>
      <c r="F356" s="49" t="s">
        <v>803</v>
      </c>
      <c r="G356" s="47" t="s">
        <v>804</v>
      </c>
      <c r="H356" s="47" t="s">
        <v>134</v>
      </c>
      <c r="I356" s="47" t="s">
        <v>135</v>
      </c>
      <c r="J356" s="47" t="s">
        <v>25</v>
      </c>
      <c r="K356" s="51">
        <v>5000000</v>
      </c>
      <c r="L356" s="47" t="s">
        <v>26</v>
      </c>
      <c r="M356" s="52">
        <f t="shared" si="6"/>
        <v>5000000</v>
      </c>
      <c r="N356" s="53">
        <v>0.2</v>
      </c>
      <c r="O356" s="47" t="s">
        <v>756</v>
      </c>
      <c r="P356" s="47" t="s">
        <v>307</v>
      </c>
      <c r="Q356" s="47" t="s">
        <v>29</v>
      </c>
    </row>
    <row r="357" hidden="1" spans="1:17">
      <c r="A357" s="47" t="s">
        <v>17</v>
      </c>
      <c r="B357" s="48" t="s">
        <v>68</v>
      </c>
      <c r="C357" s="47">
        <v>223142</v>
      </c>
      <c r="D357" s="47" t="s">
        <v>281</v>
      </c>
      <c r="E357" s="47" t="s">
        <v>70</v>
      </c>
      <c r="F357" s="49" t="s">
        <v>492</v>
      </c>
      <c r="G357" s="47" t="s">
        <v>283</v>
      </c>
      <c r="H357" s="47" t="s">
        <v>134</v>
      </c>
      <c r="I357" s="47" t="s">
        <v>135</v>
      </c>
      <c r="J357" s="47" t="s">
        <v>25</v>
      </c>
      <c r="K357" s="51">
        <v>10000000</v>
      </c>
      <c r="L357" s="47" t="s">
        <v>26</v>
      </c>
      <c r="M357" s="52">
        <f t="shared" si="6"/>
        <v>10000000</v>
      </c>
      <c r="N357" s="53">
        <v>0.15</v>
      </c>
      <c r="O357" s="47" t="s">
        <v>756</v>
      </c>
      <c r="P357" s="47" t="s">
        <v>398</v>
      </c>
      <c r="Q357" s="47" t="s">
        <v>209</v>
      </c>
    </row>
    <row r="358" hidden="1" spans="1:17">
      <c r="A358" s="47" t="s">
        <v>17</v>
      </c>
      <c r="B358" s="48" t="s">
        <v>68</v>
      </c>
      <c r="C358" s="47">
        <v>223292</v>
      </c>
      <c r="D358" s="47" t="s">
        <v>69</v>
      </c>
      <c r="E358" s="47" t="s">
        <v>70</v>
      </c>
      <c r="F358" s="49" t="s">
        <v>805</v>
      </c>
      <c r="G358" s="47" t="s">
        <v>806</v>
      </c>
      <c r="H358" s="47" t="s">
        <v>134</v>
      </c>
      <c r="I358" s="47" t="s">
        <v>135</v>
      </c>
      <c r="J358" s="47" t="s">
        <v>25</v>
      </c>
      <c r="K358" s="51">
        <v>5000000</v>
      </c>
      <c r="L358" s="47" t="s">
        <v>26</v>
      </c>
      <c r="M358" s="52">
        <f t="shared" si="6"/>
        <v>5000000</v>
      </c>
      <c r="N358" s="53">
        <v>0.145</v>
      </c>
      <c r="O358" s="47" t="s">
        <v>756</v>
      </c>
      <c r="P358" s="47" t="s">
        <v>52</v>
      </c>
      <c r="Q358" s="47" t="s">
        <v>33</v>
      </c>
    </row>
    <row r="359" hidden="1" spans="1:17">
      <c r="A359" s="47" t="s">
        <v>17</v>
      </c>
      <c r="B359" s="48" t="s">
        <v>68</v>
      </c>
      <c r="C359" s="47">
        <v>223293</v>
      </c>
      <c r="D359" s="47" t="s">
        <v>69</v>
      </c>
      <c r="E359" s="47" t="s">
        <v>70</v>
      </c>
      <c r="F359" s="49" t="s">
        <v>71</v>
      </c>
      <c r="G359" s="47" t="s">
        <v>807</v>
      </c>
      <c r="H359" s="47" t="s">
        <v>134</v>
      </c>
      <c r="I359" s="47" t="s">
        <v>135</v>
      </c>
      <c r="J359" s="47" t="s">
        <v>25</v>
      </c>
      <c r="K359" s="51">
        <v>1000000</v>
      </c>
      <c r="L359" s="47" t="s">
        <v>26</v>
      </c>
      <c r="M359" s="52">
        <f t="shared" si="6"/>
        <v>1000000</v>
      </c>
      <c r="N359" s="53">
        <v>0.12</v>
      </c>
      <c r="O359" s="47" t="s">
        <v>756</v>
      </c>
      <c r="P359" s="47" t="s">
        <v>52</v>
      </c>
      <c r="Q359" s="47" t="s">
        <v>29</v>
      </c>
    </row>
    <row r="360" hidden="1" spans="1:17">
      <c r="A360" s="47" t="s">
        <v>17</v>
      </c>
      <c r="B360" s="48" t="s">
        <v>68</v>
      </c>
      <c r="C360" s="47">
        <v>223291</v>
      </c>
      <c r="D360" s="47" t="s">
        <v>69</v>
      </c>
      <c r="E360" s="47" t="s">
        <v>70</v>
      </c>
      <c r="F360" s="49" t="s">
        <v>808</v>
      </c>
      <c r="G360" s="47" t="s">
        <v>809</v>
      </c>
      <c r="H360" s="47" t="s">
        <v>134</v>
      </c>
      <c r="I360" s="47" t="s">
        <v>135</v>
      </c>
      <c r="J360" s="47" t="s">
        <v>25</v>
      </c>
      <c r="K360" s="51">
        <v>3999999.99994231</v>
      </c>
      <c r="L360" s="47" t="s">
        <v>26</v>
      </c>
      <c r="M360" s="52">
        <f t="shared" si="6"/>
        <v>3999999.99994231</v>
      </c>
      <c r="N360" s="53">
        <v>0.125</v>
      </c>
      <c r="O360" s="47" t="s">
        <v>756</v>
      </c>
      <c r="P360" s="47" t="s">
        <v>52</v>
      </c>
      <c r="Q360" s="47" t="s">
        <v>29</v>
      </c>
    </row>
    <row r="361" hidden="1" spans="1:17">
      <c r="A361" s="47" t="s">
        <v>17</v>
      </c>
      <c r="B361" s="48" t="s">
        <v>103</v>
      </c>
      <c r="C361" s="47">
        <v>223448</v>
      </c>
      <c r="D361" s="47" t="s">
        <v>140</v>
      </c>
      <c r="E361" s="47" t="s">
        <v>117</v>
      </c>
      <c r="F361" s="49" t="s">
        <v>141</v>
      </c>
      <c r="G361" s="47" t="s">
        <v>810</v>
      </c>
      <c r="H361" s="47" t="s">
        <v>134</v>
      </c>
      <c r="I361" s="47" t="s">
        <v>135</v>
      </c>
      <c r="J361" s="47" t="s">
        <v>25</v>
      </c>
      <c r="K361" s="51">
        <v>53000000</v>
      </c>
      <c r="L361" s="47" t="s">
        <v>26</v>
      </c>
      <c r="M361" s="52">
        <f t="shared" si="6"/>
        <v>53000000</v>
      </c>
      <c r="N361" s="53">
        <v>0.2</v>
      </c>
      <c r="O361" s="47" t="s">
        <v>756</v>
      </c>
      <c r="P361" s="47" t="s">
        <v>191</v>
      </c>
      <c r="Q361" s="47" t="s">
        <v>259</v>
      </c>
    </row>
    <row r="362" hidden="1" spans="1:17">
      <c r="A362" s="47" t="s">
        <v>17</v>
      </c>
      <c r="B362" s="48" t="s">
        <v>103</v>
      </c>
      <c r="C362" s="47">
        <v>223492</v>
      </c>
      <c r="D362" s="47" t="s">
        <v>301</v>
      </c>
      <c r="E362" s="47" t="s">
        <v>129</v>
      </c>
      <c r="F362" s="49" t="s">
        <v>811</v>
      </c>
      <c r="G362" s="47" t="s">
        <v>812</v>
      </c>
      <c r="H362" s="47" t="s">
        <v>125</v>
      </c>
      <c r="I362" s="47" t="s">
        <v>135</v>
      </c>
      <c r="J362" s="47" t="s">
        <v>741</v>
      </c>
      <c r="K362" s="51">
        <v>25000000</v>
      </c>
      <c r="L362" s="47" t="s">
        <v>26</v>
      </c>
      <c r="M362" s="52">
        <f t="shared" si="6"/>
        <v>25000000</v>
      </c>
      <c r="N362" s="53">
        <v>0.14</v>
      </c>
      <c r="O362" s="47" t="s">
        <v>756</v>
      </c>
      <c r="P362" s="47" t="s">
        <v>193</v>
      </c>
      <c r="Q362" s="47" t="s">
        <v>29</v>
      </c>
    </row>
    <row r="363" hidden="1" spans="1:17">
      <c r="A363" s="47" t="s">
        <v>17</v>
      </c>
      <c r="B363" s="48" t="s">
        <v>18</v>
      </c>
      <c r="C363" s="47">
        <v>223491</v>
      </c>
      <c r="D363" s="47" t="s">
        <v>275</v>
      </c>
      <c r="E363" s="47" t="s">
        <v>20</v>
      </c>
      <c r="F363" s="49" t="s">
        <v>376</v>
      </c>
      <c r="G363" s="47" t="s">
        <v>813</v>
      </c>
      <c r="H363" s="47" t="s">
        <v>134</v>
      </c>
      <c r="I363" s="47" t="s">
        <v>135</v>
      </c>
      <c r="J363" s="47" t="s">
        <v>25</v>
      </c>
      <c r="K363" s="51">
        <v>1500000000</v>
      </c>
      <c r="L363" s="47" t="s">
        <v>26</v>
      </c>
      <c r="M363" s="52">
        <f t="shared" si="6"/>
        <v>1500000000</v>
      </c>
      <c r="N363" s="53">
        <v>0.08</v>
      </c>
      <c r="O363" s="47" t="s">
        <v>756</v>
      </c>
      <c r="P363" s="47" t="s">
        <v>193</v>
      </c>
      <c r="Q363" s="47" t="s">
        <v>65</v>
      </c>
    </row>
    <row r="364" hidden="1" spans="1:17">
      <c r="A364" s="47" t="s">
        <v>17</v>
      </c>
      <c r="B364" s="48" t="s">
        <v>68</v>
      </c>
      <c r="C364" s="47">
        <v>223535</v>
      </c>
      <c r="D364" s="47" t="s">
        <v>69</v>
      </c>
      <c r="E364" s="47" t="s">
        <v>70</v>
      </c>
      <c r="F364" s="49" t="s">
        <v>83</v>
      </c>
      <c r="G364" s="47" t="s">
        <v>814</v>
      </c>
      <c r="H364" s="47" t="s">
        <v>163</v>
      </c>
      <c r="I364" s="47" t="s">
        <v>135</v>
      </c>
      <c r="J364" s="47" t="s">
        <v>73</v>
      </c>
      <c r="K364" s="51">
        <v>5000000</v>
      </c>
      <c r="L364" s="47" t="s">
        <v>26</v>
      </c>
      <c r="M364" s="52">
        <f t="shared" si="6"/>
        <v>5000000</v>
      </c>
      <c r="N364" s="53">
        <v>0.12</v>
      </c>
      <c r="O364" s="47" t="s">
        <v>756</v>
      </c>
      <c r="P364" s="47" t="s">
        <v>193</v>
      </c>
      <c r="Q364" s="47" t="s">
        <v>209</v>
      </c>
    </row>
    <row r="365" hidden="1" spans="1:17">
      <c r="A365" s="47" t="s">
        <v>17</v>
      </c>
      <c r="B365" s="48" t="s">
        <v>68</v>
      </c>
      <c r="C365" s="47">
        <v>223699</v>
      </c>
      <c r="D365" s="47" t="s">
        <v>69</v>
      </c>
      <c r="E365" s="47" t="s">
        <v>70</v>
      </c>
      <c r="F365" s="49" t="s">
        <v>83</v>
      </c>
      <c r="G365" s="47" t="s">
        <v>815</v>
      </c>
      <c r="H365" s="47" t="s">
        <v>163</v>
      </c>
      <c r="I365" s="47" t="s">
        <v>135</v>
      </c>
      <c r="J365" s="47" t="s">
        <v>73</v>
      </c>
      <c r="K365" s="51">
        <v>700000</v>
      </c>
      <c r="L365" s="47" t="s">
        <v>26</v>
      </c>
      <c r="M365" s="52">
        <f t="shared" si="6"/>
        <v>700000</v>
      </c>
      <c r="N365" s="53">
        <v>0.12</v>
      </c>
      <c r="O365" s="47" t="s">
        <v>756</v>
      </c>
      <c r="P365" s="47" t="s">
        <v>63</v>
      </c>
      <c r="Q365" s="47" t="s">
        <v>33</v>
      </c>
    </row>
    <row r="366" hidden="1" spans="1:17">
      <c r="A366" s="47" t="s">
        <v>17</v>
      </c>
      <c r="B366" s="48" t="s">
        <v>68</v>
      </c>
      <c r="C366" s="47">
        <v>223701</v>
      </c>
      <c r="D366" s="47" t="s">
        <v>69</v>
      </c>
      <c r="E366" s="47" t="s">
        <v>70</v>
      </c>
      <c r="F366" s="49" t="s">
        <v>83</v>
      </c>
      <c r="G366" s="47" t="s">
        <v>816</v>
      </c>
      <c r="H366" s="47" t="s">
        <v>163</v>
      </c>
      <c r="I366" s="47" t="s">
        <v>135</v>
      </c>
      <c r="J366" s="47" t="s">
        <v>73</v>
      </c>
      <c r="K366" s="51">
        <v>3500000.000175</v>
      </c>
      <c r="L366" s="47" t="s">
        <v>26</v>
      </c>
      <c r="M366" s="52">
        <f t="shared" si="6"/>
        <v>3500000.000175</v>
      </c>
      <c r="N366" s="53">
        <v>0.14286</v>
      </c>
      <c r="O366" s="47" t="s">
        <v>756</v>
      </c>
      <c r="P366" s="47" t="s">
        <v>63</v>
      </c>
      <c r="Q366" s="47" t="s">
        <v>33</v>
      </c>
    </row>
    <row r="367" hidden="1" spans="1:17">
      <c r="A367" s="47" t="s">
        <v>17</v>
      </c>
      <c r="B367" s="48" t="s">
        <v>103</v>
      </c>
      <c r="C367" s="47">
        <v>215763</v>
      </c>
      <c r="D367" s="47" t="s">
        <v>326</v>
      </c>
      <c r="E367" s="47" t="s">
        <v>117</v>
      </c>
      <c r="F367" s="49" t="s">
        <v>817</v>
      </c>
      <c r="G367" s="47" t="s">
        <v>818</v>
      </c>
      <c r="H367" s="47" t="s">
        <v>163</v>
      </c>
      <c r="I367" s="47" t="s">
        <v>135</v>
      </c>
      <c r="J367" s="47" t="s">
        <v>25</v>
      </c>
      <c r="K367" s="51">
        <v>85000000</v>
      </c>
      <c r="L367" s="47" t="s">
        <v>26</v>
      </c>
      <c r="M367" s="52">
        <f t="shared" si="6"/>
        <v>85000000</v>
      </c>
      <c r="N367" s="53">
        <v>0.11765</v>
      </c>
      <c r="O367" s="47" t="s">
        <v>819</v>
      </c>
      <c r="P367" s="47" t="s">
        <v>745</v>
      </c>
      <c r="Q367" s="47" t="s">
        <v>33</v>
      </c>
    </row>
    <row r="368" hidden="1" spans="1:17">
      <c r="A368" s="47" t="s">
        <v>17</v>
      </c>
      <c r="B368" s="48" t="s">
        <v>40</v>
      </c>
      <c r="C368" s="47">
        <v>220735</v>
      </c>
      <c r="D368" s="47" t="s">
        <v>122</v>
      </c>
      <c r="E368" s="47" t="s">
        <v>42</v>
      </c>
      <c r="F368" s="49" t="s">
        <v>820</v>
      </c>
      <c r="G368" s="47" t="s">
        <v>821</v>
      </c>
      <c r="H368" s="47" t="s">
        <v>134</v>
      </c>
      <c r="I368" s="47" t="s">
        <v>135</v>
      </c>
      <c r="J368" s="47" t="s">
        <v>45</v>
      </c>
      <c r="K368" s="51">
        <v>3000000</v>
      </c>
      <c r="L368" s="47" t="s">
        <v>26</v>
      </c>
      <c r="M368" s="52">
        <f t="shared" si="6"/>
        <v>3000000</v>
      </c>
      <c r="N368" s="53">
        <v>0.16667</v>
      </c>
      <c r="O368" s="47" t="s">
        <v>822</v>
      </c>
      <c r="P368" s="47" t="s">
        <v>219</v>
      </c>
      <c r="Q368" s="47" t="s">
        <v>209</v>
      </c>
    </row>
    <row r="369" hidden="1" spans="1:17">
      <c r="A369" s="47" t="s">
        <v>17</v>
      </c>
      <c r="B369" s="48" t="s">
        <v>40</v>
      </c>
      <c r="C369" s="47">
        <v>223720</v>
      </c>
      <c r="D369" s="47" t="s">
        <v>122</v>
      </c>
      <c r="E369" s="47" t="s">
        <v>42</v>
      </c>
      <c r="F369" s="49" t="s">
        <v>702</v>
      </c>
      <c r="G369" s="47" t="s">
        <v>823</v>
      </c>
      <c r="H369" s="47" t="s">
        <v>163</v>
      </c>
      <c r="I369" s="47" t="s">
        <v>135</v>
      </c>
      <c r="J369" s="47" t="s">
        <v>45</v>
      </c>
      <c r="K369" s="51">
        <v>26470588.24</v>
      </c>
      <c r="L369" s="47" t="s">
        <v>26</v>
      </c>
      <c r="M369" s="52">
        <f t="shared" si="6"/>
        <v>26470588.24</v>
      </c>
      <c r="N369" s="53">
        <v>0.15</v>
      </c>
      <c r="O369" s="47" t="s">
        <v>822</v>
      </c>
      <c r="P369" s="47" t="s">
        <v>76</v>
      </c>
      <c r="Q369" s="47" t="s">
        <v>33</v>
      </c>
    </row>
    <row r="370" hidden="1" spans="1:17">
      <c r="A370" s="47" t="s">
        <v>17</v>
      </c>
      <c r="B370" s="48" t="s">
        <v>40</v>
      </c>
      <c r="C370" s="47">
        <v>220684</v>
      </c>
      <c r="D370" s="47" t="s">
        <v>41</v>
      </c>
      <c r="E370" s="47" t="s">
        <v>42</v>
      </c>
      <c r="F370" s="49" t="s">
        <v>418</v>
      </c>
      <c r="G370" s="47" t="s">
        <v>824</v>
      </c>
      <c r="H370" s="47" t="s">
        <v>134</v>
      </c>
      <c r="I370" s="47" t="s">
        <v>135</v>
      </c>
      <c r="J370" s="47" t="s">
        <v>45</v>
      </c>
      <c r="K370" s="51">
        <v>3700000</v>
      </c>
      <c r="L370" s="47" t="s">
        <v>26</v>
      </c>
      <c r="M370" s="52">
        <f t="shared" ref="M370:M381" si="7">K370</f>
        <v>3700000</v>
      </c>
      <c r="N370" s="53">
        <v>0</v>
      </c>
      <c r="O370" s="47" t="s">
        <v>825</v>
      </c>
      <c r="P370" s="47" t="s">
        <v>240</v>
      </c>
      <c r="Q370" s="47" t="s">
        <v>33</v>
      </c>
    </row>
    <row r="371" hidden="1" spans="1:17">
      <c r="A371" s="47" t="s">
        <v>17</v>
      </c>
      <c r="B371" s="48" t="s">
        <v>18</v>
      </c>
      <c r="C371" s="47">
        <v>220693</v>
      </c>
      <c r="D371" s="47" t="s">
        <v>146</v>
      </c>
      <c r="E371" s="47" t="s">
        <v>20</v>
      </c>
      <c r="F371" s="49" t="s">
        <v>147</v>
      </c>
      <c r="G371" s="47" t="s">
        <v>826</v>
      </c>
      <c r="H371" s="47" t="s">
        <v>163</v>
      </c>
      <c r="I371" s="47" t="s">
        <v>135</v>
      </c>
      <c r="J371" s="47" t="s">
        <v>25</v>
      </c>
      <c r="K371" s="51">
        <v>12000000</v>
      </c>
      <c r="L371" s="47" t="s">
        <v>26</v>
      </c>
      <c r="M371" s="52">
        <f t="shared" si="7"/>
        <v>12000000</v>
      </c>
      <c r="N371" s="54"/>
      <c r="O371" s="47" t="s">
        <v>825</v>
      </c>
      <c r="P371" s="47" t="s">
        <v>240</v>
      </c>
      <c r="Q371" s="47" t="s">
        <v>29</v>
      </c>
    </row>
    <row r="372" hidden="1" spans="1:17">
      <c r="A372" s="47" t="s">
        <v>17</v>
      </c>
      <c r="B372" s="48" t="s">
        <v>18</v>
      </c>
      <c r="C372" s="47">
        <v>220717</v>
      </c>
      <c r="D372" s="47" t="s">
        <v>146</v>
      </c>
      <c r="E372" s="47" t="s">
        <v>20</v>
      </c>
      <c r="F372" s="49" t="s">
        <v>827</v>
      </c>
      <c r="G372" s="47" t="s">
        <v>828</v>
      </c>
      <c r="H372" s="47" t="s">
        <v>163</v>
      </c>
      <c r="I372" s="47" t="s">
        <v>135</v>
      </c>
      <c r="J372" s="47" t="s">
        <v>25</v>
      </c>
      <c r="K372" s="51">
        <v>3500000</v>
      </c>
      <c r="L372" s="47" t="s">
        <v>26</v>
      </c>
      <c r="M372" s="52">
        <f t="shared" si="7"/>
        <v>3500000</v>
      </c>
      <c r="N372" s="54"/>
      <c r="O372" s="47" t="s">
        <v>825</v>
      </c>
      <c r="P372" s="47" t="s">
        <v>219</v>
      </c>
      <c r="Q372" s="47" t="s">
        <v>29</v>
      </c>
    </row>
    <row r="373" hidden="1" spans="1:17">
      <c r="A373" s="47" t="s">
        <v>17</v>
      </c>
      <c r="B373" s="48" t="s">
        <v>34</v>
      </c>
      <c r="C373" s="47">
        <v>220534</v>
      </c>
      <c r="D373" s="47" t="s">
        <v>35</v>
      </c>
      <c r="E373" s="47" t="s">
        <v>36</v>
      </c>
      <c r="F373" s="49" t="s">
        <v>347</v>
      </c>
      <c r="G373" s="47" t="s">
        <v>829</v>
      </c>
      <c r="H373" s="47" t="s">
        <v>125</v>
      </c>
      <c r="I373" s="47" t="s">
        <v>135</v>
      </c>
      <c r="J373" s="47" t="s">
        <v>25</v>
      </c>
      <c r="K373" s="51">
        <v>130000000</v>
      </c>
      <c r="L373" s="47" t="s">
        <v>26</v>
      </c>
      <c r="M373" s="52">
        <f t="shared" si="7"/>
        <v>130000000</v>
      </c>
      <c r="N373" s="53">
        <v>0.1</v>
      </c>
      <c r="O373" s="47" t="s">
        <v>830</v>
      </c>
      <c r="P373" s="47" t="s">
        <v>226</v>
      </c>
      <c r="Q373" s="47" t="s">
        <v>33</v>
      </c>
    </row>
    <row r="374" hidden="1" spans="1:17">
      <c r="A374" s="47" t="s">
        <v>17</v>
      </c>
      <c r="B374" s="48" t="s">
        <v>103</v>
      </c>
      <c r="C374" s="47">
        <v>220390</v>
      </c>
      <c r="D374" s="47" t="s">
        <v>104</v>
      </c>
      <c r="E374" s="47" t="s">
        <v>105</v>
      </c>
      <c r="F374" s="49" t="s">
        <v>106</v>
      </c>
      <c r="G374" s="47" t="s">
        <v>831</v>
      </c>
      <c r="H374" s="47" t="s">
        <v>134</v>
      </c>
      <c r="I374" s="47" t="s">
        <v>135</v>
      </c>
      <c r="J374" s="47" t="s">
        <v>25</v>
      </c>
      <c r="K374" s="51">
        <v>4000000</v>
      </c>
      <c r="L374" s="47" t="s">
        <v>26</v>
      </c>
      <c r="M374" s="52">
        <f t="shared" si="7"/>
        <v>4000000</v>
      </c>
      <c r="N374" s="53">
        <v>0.15</v>
      </c>
      <c r="O374" s="47" t="s">
        <v>832</v>
      </c>
      <c r="P374" s="47" t="s">
        <v>32</v>
      </c>
      <c r="Q374" s="47" t="s">
        <v>259</v>
      </c>
    </row>
    <row r="375" hidden="1" spans="1:17">
      <c r="A375" s="47" t="s">
        <v>17</v>
      </c>
      <c r="B375" s="48" t="s">
        <v>40</v>
      </c>
      <c r="C375" s="47">
        <v>220424</v>
      </c>
      <c r="D375" s="47" t="s">
        <v>41</v>
      </c>
      <c r="E375" s="47" t="s">
        <v>42</v>
      </c>
      <c r="F375" s="49" t="s">
        <v>418</v>
      </c>
      <c r="G375" s="47" t="s">
        <v>833</v>
      </c>
      <c r="H375" s="47" t="s">
        <v>163</v>
      </c>
      <c r="I375" s="47" t="s">
        <v>135</v>
      </c>
      <c r="J375" s="47" t="s">
        <v>45</v>
      </c>
      <c r="K375" s="51">
        <v>2000000</v>
      </c>
      <c r="L375" s="47" t="s">
        <v>26</v>
      </c>
      <c r="M375" s="52">
        <f t="shared" si="7"/>
        <v>2000000</v>
      </c>
      <c r="N375" s="53">
        <v>0.15</v>
      </c>
      <c r="O375" s="47" t="s">
        <v>832</v>
      </c>
      <c r="P375" s="47" t="s">
        <v>170</v>
      </c>
      <c r="Q375" s="47" t="s">
        <v>33</v>
      </c>
    </row>
    <row r="376" hidden="1" spans="1:17">
      <c r="A376" s="47" t="s">
        <v>17</v>
      </c>
      <c r="B376" s="48" t="s">
        <v>18</v>
      </c>
      <c r="C376" s="47">
        <v>220452</v>
      </c>
      <c r="D376" s="47" t="s">
        <v>171</v>
      </c>
      <c r="E376" s="47" t="s">
        <v>172</v>
      </c>
      <c r="F376" s="49" t="s">
        <v>834</v>
      </c>
      <c r="G376" s="47" t="s">
        <v>835</v>
      </c>
      <c r="H376" s="47" t="s">
        <v>134</v>
      </c>
      <c r="I376" s="47" t="s">
        <v>135</v>
      </c>
      <c r="J376" s="47" t="s">
        <v>25</v>
      </c>
      <c r="K376" s="51">
        <v>45800000.0007786</v>
      </c>
      <c r="L376" s="47" t="s">
        <v>26</v>
      </c>
      <c r="M376" s="52">
        <f t="shared" si="7"/>
        <v>45800000.0007786</v>
      </c>
      <c r="N376" s="53">
        <v>0.12664</v>
      </c>
      <c r="O376" s="47" t="s">
        <v>832</v>
      </c>
      <c r="P376" s="47" t="s">
        <v>170</v>
      </c>
      <c r="Q376" s="47" t="s">
        <v>100</v>
      </c>
    </row>
    <row r="377" hidden="1" spans="1:17">
      <c r="A377" s="47" t="s">
        <v>17</v>
      </c>
      <c r="B377" s="48" t="s">
        <v>103</v>
      </c>
      <c r="C377" s="47">
        <v>220937</v>
      </c>
      <c r="D377" s="47" t="s">
        <v>389</v>
      </c>
      <c r="E377" s="47" t="s">
        <v>105</v>
      </c>
      <c r="F377" s="49" t="s">
        <v>614</v>
      </c>
      <c r="G377" s="47" t="s">
        <v>836</v>
      </c>
      <c r="H377" s="47" t="s">
        <v>134</v>
      </c>
      <c r="I377" s="47" t="s">
        <v>135</v>
      </c>
      <c r="J377" s="47" t="s">
        <v>25</v>
      </c>
      <c r="K377" s="51">
        <v>2500000</v>
      </c>
      <c r="L377" s="47" t="s">
        <v>26</v>
      </c>
      <c r="M377" s="52">
        <f t="shared" si="7"/>
        <v>2500000</v>
      </c>
      <c r="N377" s="53">
        <v>0.2</v>
      </c>
      <c r="O377" s="47" t="s">
        <v>832</v>
      </c>
      <c r="P377" s="47" t="s">
        <v>79</v>
      </c>
      <c r="Q377" s="47" t="s">
        <v>209</v>
      </c>
    </row>
    <row r="378" hidden="1" spans="1:17">
      <c r="A378" s="47" t="s">
        <v>17</v>
      </c>
      <c r="B378" s="48" t="s">
        <v>103</v>
      </c>
      <c r="C378" s="47">
        <v>221837</v>
      </c>
      <c r="D378" s="47" t="s">
        <v>389</v>
      </c>
      <c r="E378" s="47" t="s">
        <v>105</v>
      </c>
      <c r="F378" s="49" t="s">
        <v>614</v>
      </c>
      <c r="G378" s="47" t="s">
        <v>837</v>
      </c>
      <c r="H378" s="47" t="s">
        <v>134</v>
      </c>
      <c r="I378" s="47" t="s">
        <v>135</v>
      </c>
      <c r="J378" s="47" t="s">
        <v>25</v>
      </c>
      <c r="K378" s="51">
        <v>2500000</v>
      </c>
      <c r="L378" s="47" t="s">
        <v>26</v>
      </c>
      <c r="M378" s="52">
        <f t="shared" si="7"/>
        <v>2500000</v>
      </c>
      <c r="N378" s="53">
        <v>0.16</v>
      </c>
      <c r="O378" s="47" t="s">
        <v>832</v>
      </c>
      <c r="P378" s="47" t="s">
        <v>367</v>
      </c>
      <c r="Q378" s="47" t="s">
        <v>209</v>
      </c>
    </row>
    <row r="379" hidden="1" spans="1:17">
      <c r="A379" s="47" t="s">
        <v>17</v>
      </c>
      <c r="B379" s="48" t="s">
        <v>103</v>
      </c>
      <c r="C379" s="47">
        <v>221904</v>
      </c>
      <c r="D379" s="47" t="s">
        <v>435</v>
      </c>
      <c r="E379" s="47" t="s">
        <v>105</v>
      </c>
      <c r="F379" s="49" t="s">
        <v>466</v>
      </c>
      <c r="G379" s="47" t="s">
        <v>838</v>
      </c>
      <c r="H379" s="47" t="s">
        <v>134</v>
      </c>
      <c r="I379" s="47" t="s">
        <v>135</v>
      </c>
      <c r="J379" s="47" t="s">
        <v>25</v>
      </c>
      <c r="K379" s="51">
        <v>5113636.2</v>
      </c>
      <c r="L379" s="47" t="s">
        <v>26</v>
      </c>
      <c r="M379" s="52">
        <f t="shared" si="7"/>
        <v>5113636.2</v>
      </c>
      <c r="N379" s="53">
        <v>0.1</v>
      </c>
      <c r="O379" s="47" t="s">
        <v>832</v>
      </c>
      <c r="P379" s="47" t="s">
        <v>367</v>
      </c>
      <c r="Q379" s="47" t="s">
        <v>33</v>
      </c>
    </row>
    <row r="380" hidden="1" spans="1:17">
      <c r="A380" s="47" t="s">
        <v>17</v>
      </c>
      <c r="B380" s="48" t="s">
        <v>34</v>
      </c>
      <c r="C380" s="47">
        <v>223129</v>
      </c>
      <c r="D380" s="47" t="s">
        <v>278</v>
      </c>
      <c r="E380" s="47" t="s">
        <v>36</v>
      </c>
      <c r="F380" s="49" t="s">
        <v>839</v>
      </c>
      <c r="G380" s="47" t="s">
        <v>840</v>
      </c>
      <c r="H380" s="47" t="s">
        <v>134</v>
      </c>
      <c r="I380" s="47" t="s">
        <v>135</v>
      </c>
      <c r="J380" s="47" t="s">
        <v>25</v>
      </c>
      <c r="K380" s="51">
        <v>20224719.1</v>
      </c>
      <c r="L380" s="47" t="s">
        <v>26</v>
      </c>
      <c r="M380" s="52">
        <f t="shared" si="7"/>
        <v>20224719.1</v>
      </c>
      <c r="N380" s="53">
        <v>0.11</v>
      </c>
      <c r="O380" s="47" t="s">
        <v>832</v>
      </c>
      <c r="P380" s="47" t="s">
        <v>398</v>
      </c>
      <c r="Q380" s="47" t="s">
        <v>100</v>
      </c>
    </row>
    <row r="381" hidden="1" spans="1:17">
      <c r="A381" s="47" t="s">
        <v>17</v>
      </c>
      <c r="B381" s="48" t="s">
        <v>103</v>
      </c>
      <c r="C381" s="47">
        <v>223470</v>
      </c>
      <c r="D381" s="47" t="s">
        <v>389</v>
      </c>
      <c r="E381" s="47" t="s">
        <v>105</v>
      </c>
      <c r="F381" s="49" t="s">
        <v>390</v>
      </c>
      <c r="G381" s="47" t="s">
        <v>841</v>
      </c>
      <c r="H381" s="47" t="s">
        <v>134</v>
      </c>
      <c r="I381" s="47" t="s">
        <v>135</v>
      </c>
      <c r="J381" s="47" t="s">
        <v>25</v>
      </c>
      <c r="K381" s="51">
        <v>8500000</v>
      </c>
      <c r="L381" s="47" t="s">
        <v>26</v>
      </c>
      <c r="M381" s="52">
        <f t="shared" si="7"/>
        <v>8500000</v>
      </c>
      <c r="N381" s="53">
        <v>0.17647</v>
      </c>
      <c r="O381" s="47" t="s">
        <v>832</v>
      </c>
      <c r="P381" s="47" t="s">
        <v>842</v>
      </c>
      <c r="Q381" s="47" t="s">
        <v>209</v>
      </c>
    </row>
    <row r="382" hidden="1" spans="1:17">
      <c r="A382" s="47" t="s">
        <v>17</v>
      </c>
      <c r="B382" s="48" t="s">
        <v>68</v>
      </c>
      <c r="C382" s="47">
        <v>223711</v>
      </c>
      <c r="D382" s="47" t="s">
        <v>358</v>
      </c>
      <c r="E382" s="47" t="s">
        <v>70</v>
      </c>
      <c r="F382" s="49" t="s">
        <v>843</v>
      </c>
      <c r="G382" s="47" t="s">
        <v>844</v>
      </c>
      <c r="H382" s="47" t="s">
        <v>134</v>
      </c>
      <c r="I382" s="47" t="s">
        <v>135</v>
      </c>
      <c r="J382" s="47" t="s">
        <v>45</v>
      </c>
      <c r="K382" s="55">
        <v>812500</v>
      </c>
      <c r="L382" s="47" t="s">
        <v>361</v>
      </c>
      <c r="M382" s="48">
        <f>K382*89</f>
        <v>72312500</v>
      </c>
      <c r="N382" s="53">
        <v>0.2</v>
      </c>
      <c r="O382" s="47" t="s">
        <v>832</v>
      </c>
      <c r="P382" s="47" t="s">
        <v>76</v>
      </c>
      <c r="Q382" s="47" t="s">
        <v>29</v>
      </c>
    </row>
    <row r="383" hidden="1" spans="1:17">
      <c r="A383" s="47" t="s">
        <v>17</v>
      </c>
      <c r="B383" s="48" t="s">
        <v>34</v>
      </c>
      <c r="C383" s="47">
        <v>220477</v>
      </c>
      <c r="D383" s="47" t="s">
        <v>278</v>
      </c>
      <c r="E383" s="47" t="s">
        <v>36</v>
      </c>
      <c r="F383" s="49" t="s">
        <v>399</v>
      </c>
      <c r="G383" s="47" t="s">
        <v>845</v>
      </c>
      <c r="H383" s="47" t="s">
        <v>163</v>
      </c>
      <c r="I383" s="47" t="s">
        <v>135</v>
      </c>
      <c r="J383" s="47" t="s">
        <v>45</v>
      </c>
      <c r="K383" s="51">
        <v>50000000</v>
      </c>
      <c r="L383" s="47" t="s">
        <v>26</v>
      </c>
      <c r="M383" s="52">
        <f t="shared" ref="M383:M422" si="8">K383</f>
        <v>50000000</v>
      </c>
      <c r="N383" s="53">
        <v>0.12</v>
      </c>
      <c r="O383" s="47" t="s">
        <v>846</v>
      </c>
      <c r="P383" s="47" t="s">
        <v>170</v>
      </c>
      <c r="Q383" s="47" t="s">
        <v>65</v>
      </c>
    </row>
    <row r="384" hidden="1" spans="1:17">
      <c r="A384" s="47" t="s">
        <v>17</v>
      </c>
      <c r="B384" s="48" t="s">
        <v>34</v>
      </c>
      <c r="C384" s="47">
        <v>220727</v>
      </c>
      <c r="D384" s="47" t="s">
        <v>278</v>
      </c>
      <c r="E384" s="47" t="s">
        <v>36</v>
      </c>
      <c r="F384" s="49" t="s">
        <v>668</v>
      </c>
      <c r="G384" s="47" t="s">
        <v>847</v>
      </c>
      <c r="H384" s="47" t="s">
        <v>134</v>
      </c>
      <c r="I384" s="47" t="s">
        <v>135</v>
      </c>
      <c r="J384" s="47" t="s">
        <v>25</v>
      </c>
      <c r="K384" s="51">
        <v>5000000</v>
      </c>
      <c r="L384" s="47" t="s">
        <v>26</v>
      </c>
      <c r="M384" s="52">
        <f t="shared" si="8"/>
        <v>5000000</v>
      </c>
      <c r="N384" s="53">
        <v>0.1</v>
      </c>
      <c r="O384" s="47" t="s">
        <v>846</v>
      </c>
      <c r="P384" s="47" t="s">
        <v>219</v>
      </c>
      <c r="Q384" s="47" t="s">
        <v>29</v>
      </c>
    </row>
    <row r="385" hidden="1" spans="1:17">
      <c r="A385" s="47" t="s">
        <v>17</v>
      </c>
      <c r="B385" s="48" t="s">
        <v>34</v>
      </c>
      <c r="C385" s="47">
        <v>222835</v>
      </c>
      <c r="D385" s="47" t="s">
        <v>252</v>
      </c>
      <c r="E385" s="47" t="s">
        <v>36</v>
      </c>
      <c r="F385" s="49" t="s">
        <v>341</v>
      </c>
      <c r="G385" s="47" t="s">
        <v>848</v>
      </c>
      <c r="H385" s="47" t="s">
        <v>134</v>
      </c>
      <c r="I385" s="47" t="s">
        <v>135</v>
      </c>
      <c r="J385" s="47" t="s">
        <v>25</v>
      </c>
      <c r="K385" s="51">
        <v>3499999.99993</v>
      </c>
      <c r="L385" s="47" t="s">
        <v>26</v>
      </c>
      <c r="M385" s="52">
        <f t="shared" si="8"/>
        <v>3499999.99993</v>
      </c>
      <c r="N385" s="53">
        <v>0.28571</v>
      </c>
      <c r="O385" s="47" t="s">
        <v>846</v>
      </c>
      <c r="P385" s="47" t="s">
        <v>139</v>
      </c>
      <c r="Q385" s="47" t="s">
        <v>100</v>
      </c>
    </row>
    <row r="386" hidden="1" spans="1:17">
      <c r="A386" s="47" t="s">
        <v>17</v>
      </c>
      <c r="B386" s="48" t="s">
        <v>40</v>
      </c>
      <c r="C386" s="47">
        <v>223010</v>
      </c>
      <c r="D386" s="47" t="s">
        <v>122</v>
      </c>
      <c r="E386" s="47" t="s">
        <v>42</v>
      </c>
      <c r="F386" s="49" t="s">
        <v>849</v>
      </c>
      <c r="G386" s="47" t="s">
        <v>850</v>
      </c>
      <c r="H386" s="47" t="s">
        <v>163</v>
      </c>
      <c r="I386" s="47" t="s">
        <v>135</v>
      </c>
      <c r="J386" s="47" t="s">
        <v>45</v>
      </c>
      <c r="K386" s="51">
        <v>23529411.76</v>
      </c>
      <c r="L386" s="47" t="s">
        <v>26</v>
      </c>
      <c r="M386" s="52">
        <f t="shared" si="8"/>
        <v>23529411.76</v>
      </c>
      <c r="N386" s="53">
        <v>0.15</v>
      </c>
      <c r="O386" s="47" t="s">
        <v>846</v>
      </c>
      <c r="P386" s="47" t="s">
        <v>266</v>
      </c>
      <c r="Q386" s="47" t="s">
        <v>33</v>
      </c>
    </row>
    <row r="387" hidden="1" spans="1:17">
      <c r="A387" s="47" t="s">
        <v>17</v>
      </c>
      <c r="B387" s="48" t="s">
        <v>103</v>
      </c>
      <c r="C387" s="47">
        <v>223166</v>
      </c>
      <c r="D387" s="47" t="s">
        <v>435</v>
      </c>
      <c r="E387" s="47" t="s">
        <v>105</v>
      </c>
      <c r="F387" s="49" t="s">
        <v>709</v>
      </c>
      <c r="G387" s="47" t="s">
        <v>851</v>
      </c>
      <c r="H387" s="47" t="s">
        <v>134</v>
      </c>
      <c r="I387" s="47" t="s">
        <v>135</v>
      </c>
      <c r="J387" s="47" t="s">
        <v>25</v>
      </c>
      <c r="K387" s="51">
        <v>5681818</v>
      </c>
      <c r="L387" s="47" t="s">
        <v>26</v>
      </c>
      <c r="M387" s="52">
        <f t="shared" si="8"/>
        <v>5681818</v>
      </c>
      <c r="N387" s="53">
        <v>0.1</v>
      </c>
      <c r="O387" s="47" t="s">
        <v>846</v>
      </c>
      <c r="P387" s="47" t="s">
        <v>39</v>
      </c>
      <c r="Q387" s="47" t="s">
        <v>33</v>
      </c>
    </row>
    <row r="388" hidden="1" spans="1:17">
      <c r="A388" s="47" t="s">
        <v>17</v>
      </c>
      <c r="B388" s="48" t="s">
        <v>18</v>
      </c>
      <c r="C388" s="47">
        <v>214750</v>
      </c>
      <c r="D388" s="47" t="s">
        <v>171</v>
      </c>
      <c r="E388" s="47" t="s">
        <v>172</v>
      </c>
      <c r="F388" s="49" t="s">
        <v>852</v>
      </c>
      <c r="G388" s="47" t="s">
        <v>853</v>
      </c>
      <c r="H388" s="47" t="s">
        <v>163</v>
      </c>
      <c r="I388" s="47" t="s">
        <v>135</v>
      </c>
      <c r="J388" s="47" t="s">
        <v>25</v>
      </c>
      <c r="K388" s="51">
        <v>250000</v>
      </c>
      <c r="L388" s="47" t="s">
        <v>26</v>
      </c>
      <c r="M388" s="52">
        <f t="shared" si="8"/>
        <v>250000</v>
      </c>
      <c r="N388" s="54"/>
      <c r="O388" s="47" t="s">
        <v>854</v>
      </c>
      <c r="P388" s="47" t="s">
        <v>855</v>
      </c>
      <c r="Q388" s="47" t="s">
        <v>29</v>
      </c>
    </row>
    <row r="389" hidden="1" spans="1:17">
      <c r="A389" s="47" t="s">
        <v>17</v>
      </c>
      <c r="B389" s="48" t="s">
        <v>34</v>
      </c>
      <c r="C389" s="47">
        <v>220089</v>
      </c>
      <c r="D389" s="47" t="s">
        <v>738</v>
      </c>
      <c r="E389" s="47" t="s">
        <v>621</v>
      </c>
      <c r="F389" s="49" t="s">
        <v>471</v>
      </c>
      <c r="G389" s="47" t="s">
        <v>856</v>
      </c>
      <c r="H389" s="47" t="s">
        <v>125</v>
      </c>
      <c r="I389" s="47" t="s">
        <v>135</v>
      </c>
      <c r="J389" s="47" t="s">
        <v>45</v>
      </c>
      <c r="K389" s="51">
        <v>27900000</v>
      </c>
      <c r="L389" s="47" t="s">
        <v>26</v>
      </c>
      <c r="M389" s="52">
        <f t="shared" si="8"/>
        <v>27900000</v>
      </c>
      <c r="N389" s="53">
        <v>0.12</v>
      </c>
      <c r="O389" s="47" t="s">
        <v>854</v>
      </c>
      <c r="P389" s="47" t="s">
        <v>706</v>
      </c>
      <c r="Q389" s="47" t="s">
        <v>259</v>
      </c>
    </row>
    <row r="390" hidden="1" spans="1:17">
      <c r="A390" s="47" t="s">
        <v>17</v>
      </c>
      <c r="B390" s="48" t="s">
        <v>68</v>
      </c>
      <c r="C390" s="47">
        <v>220433</v>
      </c>
      <c r="D390" s="47" t="s">
        <v>96</v>
      </c>
      <c r="E390" s="47" t="s">
        <v>70</v>
      </c>
      <c r="F390" s="49" t="s">
        <v>97</v>
      </c>
      <c r="G390" s="47" t="s">
        <v>857</v>
      </c>
      <c r="H390" s="47" t="s">
        <v>163</v>
      </c>
      <c r="I390" s="47" t="s">
        <v>135</v>
      </c>
      <c r="J390" s="47" t="s">
        <v>25</v>
      </c>
      <c r="K390" s="51">
        <v>23100000</v>
      </c>
      <c r="L390" s="47" t="s">
        <v>26</v>
      </c>
      <c r="M390" s="52">
        <f t="shared" si="8"/>
        <v>23100000</v>
      </c>
      <c r="N390" s="53">
        <v>0.1342</v>
      </c>
      <c r="O390" s="47" t="s">
        <v>854</v>
      </c>
      <c r="P390" s="47" t="s">
        <v>170</v>
      </c>
      <c r="Q390" s="47" t="s">
        <v>100</v>
      </c>
    </row>
    <row r="391" hidden="1" spans="1:17">
      <c r="A391" s="47" t="s">
        <v>17</v>
      </c>
      <c r="B391" s="48" t="s">
        <v>103</v>
      </c>
      <c r="C391" s="47">
        <v>222628</v>
      </c>
      <c r="D391" s="47" t="s">
        <v>389</v>
      </c>
      <c r="E391" s="47" t="s">
        <v>105</v>
      </c>
      <c r="F391" s="49" t="s">
        <v>625</v>
      </c>
      <c r="G391" s="47" t="s">
        <v>858</v>
      </c>
      <c r="H391" s="47" t="s">
        <v>163</v>
      </c>
      <c r="I391" s="47" t="s">
        <v>135</v>
      </c>
      <c r="J391" s="47" t="s">
        <v>25</v>
      </c>
      <c r="K391" s="51">
        <v>1882352.94</v>
      </c>
      <c r="L391" s="47" t="s">
        <v>26</v>
      </c>
      <c r="M391" s="52">
        <f t="shared" si="8"/>
        <v>1882352.94</v>
      </c>
      <c r="N391" s="53">
        <v>0.15</v>
      </c>
      <c r="O391" s="47" t="s">
        <v>859</v>
      </c>
      <c r="P391" s="47" t="s">
        <v>860</v>
      </c>
      <c r="Q391" s="47" t="s">
        <v>209</v>
      </c>
    </row>
    <row r="392" hidden="1" spans="1:17">
      <c r="A392" s="47" t="s">
        <v>17</v>
      </c>
      <c r="B392" s="48" t="s">
        <v>40</v>
      </c>
      <c r="C392" s="47">
        <v>216383</v>
      </c>
      <c r="D392" s="47" t="s">
        <v>210</v>
      </c>
      <c r="E392" s="47" t="s">
        <v>42</v>
      </c>
      <c r="F392" s="49" t="s">
        <v>861</v>
      </c>
      <c r="G392" s="47" t="s">
        <v>862</v>
      </c>
      <c r="H392" s="47" t="s">
        <v>125</v>
      </c>
      <c r="I392" s="47" t="s">
        <v>135</v>
      </c>
      <c r="J392" s="47" t="s">
        <v>45</v>
      </c>
      <c r="K392" s="51">
        <v>40000000</v>
      </c>
      <c r="L392" s="47" t="s">
        <v>26</v>
      </c>
      <c r="M392" s="52">
        <f t="shared" si="8"/>
        <v>40000000</v>
      </c>
      <c r="N392" s="53">
        <v>0.25</v>
      </c>
      <c r="O392" s="47" t="s">
        <v>863</v>
      </c>
      <c r="P392" s="47" t="s">
        <v>127</v>
      </c>
      <c r="Q392" s="47" t="s">
        <v>209</v>
      </c>
    </row>
    <row r="393" hidden="1" spans="1:17">
      <c r="A393" s="47" t="s">
        <v>17</v>
      </c>
      <c r="B393" s="48" t="s">
        <v>18</v>
      </c>
      <c r="C393" s="47">
        <v>220704</v>
      </c>
      <c r="D393" s="47" t="s">
        <v>146</v>
      </c>
      <c r="E393" s="47" t="s">
        <v>20</v>
      </c>
      <c r="F393" s="49" t="s">
        <v>459</v>
      </c>
      <c r="G393" s="47" t="s">
        <v>864</v>
      </c>
      <c r="H393" s="47" t="s">
        <v>134</v>
      </c>
      <c r="I393" s="47" t="s">
        <v>135</v>
      </c>
      <c r="J393" s="47" t="s">
        <v>62</v>
      </c>
      <c r="K393" s="51">
        <v>2500000</v>
      </c>
      <c r="L393" s="47" t="s">
        <v>26</v>
      </c>
      <c r="M393" s="52">
        <f t="shared" si="8"/>
        <v>2500000</v>
      </c>
      <c r="N393" s="54"/>
      <c r="O393" s="47" t="s">
        <v>863</v>
      </c>
      <c r="P393" s="47" t="s">
        <v>219</v>
      </c>
      <c r="Q393" s="47" t="s">
        <v>29</v>
      </c>
    </row>
    <row r="394" hidden="1" spans="1:17">
      <c r="A394" s="47" t="s">
        <v>17</v>
      </c>
      <c r="B394" s="48" t="s">
        <v>18</v>
      </c>
      <c r="C394" s="47">
        <v>222658</v>
      </c>
      <c r="D394" s="47" t="s">
        <v>146</v>
      </c>
      <c r="E394" s="47" t="s">
        <v>20</v>
      </c>
      <c r="F394" s="49" t="s">
        <v>865</v>
      </c>
      <c r="G394" s="47" t="s">
        <v>865</v>
      </c>
      <c r="H394" s="47" t="s">
        <v>163</v>
      </c>
      <c r="I394" s="47" t="s">
        <v>135</v>
      </c>
      <c r="J394" s="47" t="s">
        <v>25</v>
      </c>
      <c r="K394" s="54"/>
      <c r="L394" s="47" t="s">
        <v>26</v>
      </c>
      <c r="M394" s="52">
        <f t="shared" si="8"/>
        <v>0</v>
      </c>
      <c r="N394" s="54"/>
      <c r="O394" s="47" t="s">
        <v>863</v>
      </c>
      <c r="P394" s="47" t="s">
        <v>866</v>
      </c>
      <c r="Q394" s="47" t="s">
        <v>29</v>
      </c>
    </row>
    <row r="395" hidden="1" spans="1:17">
      <c r="A395" s="47" t="s">
        <v>17</v>
      </c>
      <c r="B395" s="48" t="s">
        <v>40</v>
      </c>
      <c r="C395" s="47">
        <v>220423</v>
      </c>
      <c r="D395" s="47" t="s">
        <v>41</v>
      </c>
      <c r="E395" s="47" t="s">
        <v>42</v>
      </c>
      <c r="F395" s="49" t="s">
        <v>418</v>
      </c>
      <c r="G395" s="47" t="s">
        <v>867</v>
      </c>
      <c r="H395" s="47" t="s">
        <v>163</v>
      </c>
      <c r="I395" s="47" t="s">
        <v>135</v>
      </c>
      <c r="J395" s="47" t="s">
        <v>45</v>
      </c>
      <c r="K395" s="51">
        <v>2000000</v>
      </c>
      <c r="L395" s="47" t="s">
        <v>26</v>
      </c>
      <c r="M395" s="52">
        <f t="shared" si="8"/>
        <v>2000000</v>
      </c>
      <c r="N395" s="53">
        <v>0.15</v>
      </c>
      <c r="O395" s="47" t="s">
        <v>868</v>
      </c>
      <c r="P395" s="47" t="s">
        <v>170</v>
      </c>
      <c r="Q395" s="47" t="s">
        <v>33</v>
      </c>
    </row>
    <row r="396" hidden="1" spans="1:17">
      <c r="A396" s="47" t="s">
        <v>17</v>
      </c>
      <c r="B396" s="48" t="s">
        <v>34</v>
      </c>
      <c r="C396" s="47">
        <v>220745</v>
      </c>
      <c r="D396" s="47" t="s">
        <v>35</v>
      </c>
      <c r="E396" s="47" t="s">
        <v>36</v>
      </c>
      <c r="F396" s="49" t="s">
        <v>347</v>
      </c>
      <c r="G396" s="47" t="s">
        <v>869</v>
      </c>
      <c r="H396" s="47" t="s">
        <v>125</v>
      </c>
      <c r="I396" s="47" t="s">
        <v>135</v>
      </c>
      <c r="J396" s="47" t="s">
        <v>25</v>
      </c>
      <c r="K396" s="51">
        <v>10000000</v>
      </c>
      <c r="L396" s="47" t="s">
        <v>26</v>
      </c>
      <c r="M396" s="52">
        <f t="shared" si="8"/>
        <v>10000000</v>
      </c>
      <c r="N396" s="53">
        <v>0.1</v>
      </c>
      <c r="O396" s="47" t="s">
        <v>868</v>
      </c>
      <c r="P396" s="47" t="s">
        <v>219</v>
      </c>
      <c r="Q396" s="47" t="s">
        <v>33</v>
      </c>
    </row>
    <row r="397" hidden="1" spans="1:17">
      <c r="A397" s="47" t="s">
        <v>17</v>
      </c>
      <c r="B397" s="48" t="s">
        <v>40</v>
      </c>
      <c r="C397" s="47">
        <v>216374</v>
      </c>
      <c r="D397" s="47" t="s">
        <v>210</v>
      </c>
      <c r="E397" s="47" t="s">
        <v>42</v>
      </c>
      <c r="F397" s="49" t="s">
        <v>870</v>
      </c>
      <c r="G397" s="47" t="s">
        <v>871</v>
      </c>
      <c r="H397" s="47" t="s">
        <v>125</v>
      </c>
      <c r="I397" s="47" t="s">
        <v>126</v>
      </c>
      <c r="J397" s="47" t="s">
        <v>45</v>
      </c>
      <c r="K397" s="51">
        <v>10000000</v>
      </c>
      <c r="L397" s="47" t="s">
        <v>26</v>
      </c>
      <c r="M397" s="52">
        <f t="shared" si="8"/>
        <v>10000000</v>
      </c>
      <c r="N397" s="53">
        <v>0.25</v>
      </c>
      <c r="O397" s="47" t="s">
        <v>872</v>
      </c>
      <c r="P397" s="47" t="s">
        <v>127</v>
      </c>
      <c r="Q397" s="47" t="s">
        <v>209</v>
      </c>
    </row>
    <row r="398" hidden="1" spans="1:17">
      <c r="A398" s="47" t="s">
        <v>17</v>
      </c>
      <c r="B398" s="48" t="s">
        <v>40</v>
      </c>
      <c r="C398" s="47">
        <v>216475</v>
      </c>
      <c r="D398" s="47" t="s">
        <v>210</v>
      </c>
      <c r="E398" s="47" t="s">
        <v>42</v>
      </c>
      <c r="F398" s="49" t="s">
        <v>873</v>
      </c>
      <c r="G398" s="47" t="s">
        <v>874</v>
      </c>
      <c r="H398" s="47" t="s">
        <v>134</v>
      </c>
      <c r="I398" s="47" t="s">
        <v>135</v>
      </c>
      <c r="J398" s="47" t="s">
        <v>45</v>
      </c>
      <c r="K398" s="51">
        <v>50000000</v>
      </c>
      <c r="L398" s="47" t="s">
        <v>26</v>
      </c>
      <c r="M398" s="52">
        <f t="shared" si="8"/>
        <v>50000000</v>
      </c>
      <c r="N398" s="53">
        <v>0.92</v>
      </c>
      <c r="O398" s="47" t="s">
        <v>872</v>
      </c>
      <c r="P398" s="47" t="s">
        <v>270</v>
      </c>
      <c r="Q398" s="47" t="s">
        <v>209</v>
      </c>
    </row>
    <row r="399" hidden="1" spans="1:17">
      <c r="A399" s="47" t="s">
        <v>17</v>
      </c>
      <c r="B399" s="48" t="s">
        <v>40</v>
      </c>
      <c r="C399" s="47">
        <v>220430</v>
      </c>
      <c r="D399" s="47" t="s">
        <v>41</v>
      </c>
      <c r="E399" s="47" t="s">
        <v>42</v>
      </c>
      <c r="F399" s="49" t="s">
        <v>418</v>
      </c>
      <c r="G399" s="47" t="s">
        <v>875</v>
      </c>
      <c r="H399" s="47" t="s">
        <v>134</v>
      </c>
      <c r="I399" s="47" t="s">
        <v>135</v>
      </c>
      <c r="J399" s="47" t="s">
        <v>45</v>
      </c>
      <c r="K399" s="51">
        <v>2000000</v>
      </c>
      <c r="L399" s="47" t="s">
        <v>26</v>
      </c>
      <c r="M399" s="52">
        <f t="shared" si="8"/>
        <v>2000000</v>
      </c>
      <c r="N399" s="54"/>
      <c r="O399" s="47" t="s">
        <v>872</v>
      </c>
      <c r="P399" s="47" t="s">
        <v>170</v>
      </c>
      <c r="Q399" s="47" t="s">
        <v>65</v>
      </c>
    </row>
    <row r="400" hidden="1" spans="1:17">
      <c r="A400" s="47" t="s">
        <v>17</v>
      </c>
      <c r="B400" s="48" t="s">
        <v>40</v>
      </c>
      <c r="C400" s="47">
        <v>220685</v>
      </c>
      <c r="D400" s="47" t="s">
        <v>41</v>
      </c>
      <c r="E400" s="47" t="s">
        <v>42</v>
      </c>
      <c r="F400" s="49" t="s">
        <v>418</v>
      </c>
      <c r="G400" s="47" t="s">
        <v>876</v>
      </c>
      <c r="H400" s="47" t="s">
        <v>134</v>
      </c>
      <c r="I400" s="47" t="s">
        <v>135</v>
      </c>
      <c r="J400" s="47" t="s">
        <v>45</v>
      </c>
      <c r="K400" s="51">
        <v>2000000</v>
      </c>
      <c r="L400" s="47" t="s">
        <v>26</v>
      </c>
      <c r="M400" s="52">
        <f t="shared" si="8"/>
        <v>2000000</v>
      </c>
      <c r="N400" s="53">
        <v>0</v>
      </c>
      <c r="O400" s="47" t="s">
        <v>872</v>
      </c>
      <c r="P400" s="47" t="s">
        <v>240</v>
      </c>
      <c r="Q400" s="47" t="s">
        <v>29</v>
      </c>
    </row>
    <row r="401" hidden="1" spans="1:17">
      <c r="A401" s="47" t="s">
        <v>17</v>
      </c>
      <c r="B401" s="48" t="s">
        <v>34</v>
      </c>
      <c r="C401" s="47">
        <v>220728</v>
      </c>
      <c r="D401" s="47" t="s">
        <v>278</v>
      </c>
      <c r="E401" s="47" t="s">
        <v>36</v>
      </c>
      <c r="F401" s="49" t="s">
        <v>877</v>
      </c>
      <c r="G401" s="47" t="s">
        <v>878</v>
      </c>
      <c r="H401" s="47" t="s">
        <v>163</v>
      </c>
      <c r="I401" s="47" t="s">
        <v>135</v>
      </c>
      <c r="J401" s="47" t="s">
        <v>25</v>
      </c>
      <c r="K401" s="51">
        <v>29999999.9988462</v>
      </c>
      <c r="L401" s="47" t="s">
        <v>26</v>
      </c>
      <c r="M401" s="52">
        <f t="shared" si="8"/>
        <v>29999999.9988462</v>
      </c>
      <c r="N401" s="53">
        <v>0.13333</v>
      </c>
      <c r="O401" s="47" t="s">
        <v>872</v>
      </c>
      <c r="P401" s="47" t="s">
        <v>219</v>
      </c>
      <c r="Q401" s="47" t="s">
        <v>100</v>
      </c>
    </row>
    <row r="402" hidden="1" spans="1:17">
      <c r="A402" s="47" t="s">
        <v>17</v>
      </c>
      <c r="B402" s="48" t="s">
        <v>103</v>
      </c>
      <c r="C402" s="47">
        <v>222444</v>
      </c>
      <c r="D402" s="47" t="s">
        <v>435</v>
      </c>
      <c r="E402" s="47" t="s">
        <v>105</v>
      </c>
      <c r="F402" s="49" t="s">
        <v>709</v>
      </c>
      <c r="G402" s="47" t="s">
        <v>879</v>
      </c>
      <c r="H402" s="47" t="s">
        <v>134</v>
      </c>
      <c r="I402" s="47" t="s">
        <v>135</v>
      </c>
      <c r="J402" s="47" t="s">
        <v>25</v>
      </c>
      <c r="K402" s="51">
        <v>5555560</v>
      </c>
      <c r="L402" s="47" t="s">
        <v>26</v>
      </c>
      <c r="M402" s="52">
        <f t="shared" si="8"/>
        <v>5555560</v>
      </c>
      <c r="N402" s="53">
        <v>0.1</v>
      </c>
      <c r="O402" s="47" t="s">
        <v>872</v>
      </c>
      <c r="P402" s="47" t="s">
        <v>793</v>
      </c>
      <c r="Q402" s="47" t="s">
        <v>29</v>
      </c>
    </row>
    <row r="403" hidden="1" spans="1:17">
      <c r="A403" s="47" t="s">
        <v>17</v>
      </c>
      <c r="B403" s="48" t="s">
        <v>18</v>
      </c>
      <c r="C403" s="47">
        <v>222685</v>
      </c>
      <c r="D403" s="47" t="s">
        <v>19</v>
      </c>
      <c r="E403" s="47" t="s">
        <v>20</v>
      </c>
      <c r="F403" s="49" t="s">
        <v>156</v>
      </c>
      <c r="G403" s="47" t="s">
        <v>880</v>
      </c>
      <c r="H403" s="47" t="s">
        <v>125</v>
      </c>
      <c r="I403" s="47" t="s">
        <v>135</v>
      </c>
      <c r="J403" s="47" t="s">
        <v>25</v>
      </c>
      <c r="K403" s="51">
        <v>21600000</v>
      </c>
      <c r="L403" s="47" t="s">
        <v>26</v>
      </c>
      <c r="M403" s="52">
        <f t="shared" si="8"/>
        <v>21600000</v>
      </c>
      <c r="N403" s="53">
        <v>0.18981</v>
      </c>
      <c r="O403" s="47" t="s">
        <v>872</v>
      </c>
      <c r="P403" s="47" t="s">
        <v>866</v>
      </c>
      <c r="Q403" s="47" t="s">
        <v>100</v>
      </c>
    </row>
    <row r="404" hidden="1" spans="1:17">
      <c r="A404" s="47" t="s">
        <v>17</v>
      </c>
      <c r="B404" s="48" t="s">
        <v>103</v>
      </c>
      <c r="C404" s="47">
        <v>220375</v>
      </c>
      <c r="D404" s="47" t="s">
        <v>435</v>
      </c>
      <c r="E404" s="47" t="s">
        <v>105</v>
      </c>
      <c r="F404" s="49" t="s">
        <v>881</v>
      </c>
      <c r="G404" s="47" t="s">
        <v>882</v>
      </c>
      <c r="H404" s="47" t="s">
        <v>163</v>
      </c>
      <c r="I404" s="47" t="s">
        <v>135</v>
      </c>
      <c r="J404" s="47" t="s">
        <v>25</v>
      </c>
      <c r="K404" s="51">
        <v>6111111.11</v>
      </c>
      <c r="L404" s="47" t="s">
        <v>26</v>
      </c>
      <c r="M404" s="52">
        <f t="shared" si="8"/>
        <v>6111111.11</v>
      </c>
      <c r="N404" s="53">
        <v>0.1</v>
      </c>
      <c r="O404" s="47" t="s">
        <v>883</v>
      </c>
      <c r="P404" s="47" t="s">
        <v>32</v>
      </c>
      <c r="Q404" s="47" t="s">
        <v>29</v>
      </c>
    </row>
    <row r="405" hidden="1" spans="1:17">
      <c r="A405" s="47" t="s">
        <v>17</v>
      </c>
      <c r="B405" s="48" t="s">
        <v>40</v>
      </c>
      <c r="C405" s="47">
        <v>220389</v>
      </c>
      <c r="D405" s="47" t="s">
        <v>122</v>
      </c>
      <c r="E405" s="47" t="s">
        <v>42</v>
      </c>
      <c r="F405" s="49" t="s">
        <v>123</v>
      </c>
      <c r="G405" s="47" t="s">
        <v>884</v>
      </c>
      <c r="H405" s="47" t="s">
        <v>134</v>
      </c>
      <c r="I405" s="47" t="s">
        <v>135</v>
      </c>
      <c r="J405" s="47" t="s">
        <v>45</v>
      </c>
      <c r="K405" s="51">
        <v>7500000</v>
      </c>
      <c r="L405" s="47" t="s">
        <v>26</v>
      </c>
      <c r="M405" s="52">
        <f t="shared" si="8"/>
        <v>7500000</v>
      </c>
      <c r="N405" s="53">
        <v>0.16667</v>
      </c>
      <c r="O405" s="47" t="s">
        <v>883</v>
      </c>
      <c r="P405" s="47" t="s">
        <v>32</v>
      </c>
      <c r="Q405" s="47" t="s">
        <v>33</v>
      </c>
    </row>
    <row r="406" hidden="1" spans="1:17">
      <c r="A406" s="47" t="s">
        <v>17</v>
      </c>
      <c r="B406" s="48" t="s">
        <v>103</v>
      </c>
      <c r="C406" s="47">
        <v>221985</v>
      </c>
      <c r="D406" s="47" t="s">
        <v>435</v>
      </c>
      <c r="E406" s="47" t="s">
        <v>105</v>
      </c>
      <c r="F406" s="49" t="s">
        <v>722</v>
      </c>
      <c r="G406" s="47" t="s">
        <v>885</v>
      </c>
      <c r="H406" s="47" t="s">
        <v>163</v>
      </c>
      <c r="I406" s="47" t="s">
        <v>135</v>
      </c>
      <c r="J406" s="47" t="s">
        <v>25</v>
      </c>
      <c r="K406" s="51">
        <v>10555555.56</v>
      </c>
      <c r="L406" s="47" t="s">
        <v>26</v>
      </c>
      <c r="M406" s="52">
        <f t="shared" si="8"/>
        <v>10555555.56</v>
      </c>
      <c r="N406" s="53">
        <v>0.1</v>
      </c>
      <c r="O406" s="47" t="s">
        <v>883</v>
      </c>
      <c r="P406" s="47" t="s">
        <v>724</v>
      </c>
      <c r="Q406" s="47" t="s">
        <v>29</v>
      </c>
    </row>
    <row r="407" hidden="1" spans="1:17">
      <c r="A407" s="48" t="s">
        <v>17</v>
      </c>
      <c r="B407" s="48" t="s">
        <v>40</v>
      </c>
      <c r="C407" s="47">
        <v>209961</v>
      </c>
      <c r="D407" s="47" t="s">
        <v>41</v>
      </c>
      <c r="E407" s="47" t="s">
        <v>42</v>
      </c>
      <c r="F407" s="49" t="s">
        <v>43</v>
      </c>
      <c r="G407" s="47" t="s">
        <v>886</v>
      </c>
      <c r="H407" s="47" t="s">
        <v>149</v>
      </c>
      <c r="I407" s="47" t="s">
        <v>126</v>
      </c>
      <c r="J407" s="47" t="s">
        <v>45</v>
      </c>
      <c r="K407" s="51">
        <v>3058823.53</v>
      </c>
      <c r="L407" s="47" t="s">
        <v>26</v>
      </c>
      <c r="M407" s="52">
        <f t="shared" si="8"/>
        <v>3058823.53</v>
      </c>
      <c r="N407" s="53">
        <v>0.15</v>
      </c>
      <c r="O407" s="47" t="s">
        <v>887</v>
      </c>
      <c r="P407" s="47" t="s">
        <v>448</v>
      </c>
      <c r="Q407" s="47" t="s">
        <v>29</v>
      </c>
    </row>
    <row r="408" hidden="1" spans="1:17">
      <c r="A408" s="47" t="s">
        <v>17</v>
      </c>
      <c r="B408" s="48" t="s">
        <v>34</v>
      </c>
      <c r="C408" s="47">
        <v>220464</v>
      </c>
      <c r="D408" s="47" t="s">
        <v>738</v>
      </c>
      <c r="E408" s="47" t="s">
        <v>621</v>
      </c>
      <c r="F408" s="49" t="s">
        <v>888</v>
      </c>
      <c r="G408" s="47" t="s">
        <v>889</v>
      </c>
      <c r="H408" s="47" t="s">
        <v>134</v>
      </c>
      <c r="I408" s="47" t="s">
        <v>135</v>
      </c>
      <c r="J408" s="47" t="s">
        <v>25</v>
      </c>
      <c r="K408" s="51">
        <v>220000000.002378</v>
      </c>
      <c r="L408" s="47" t="s">
        <v>26</v>
      </c>
      <c r="M408" s="52">
        <f t="shared" si="8"/>
        <v>220000000.002378</v>
      </c>
      <c r="N408" s="53">
        <v>0.15909</v>
      </c>
      <c r="O408" s="47" t="s">
        <v>887</v>
      </c>
      <c r="P408" s="47" t="s">
        <v>170</v>
      </c>
      <c r="Q408" s="47" t="s">
        <v>29</v>
      </c>
    </row>
    <row r="409" hidden="1" spans="1:17">
      <c r="A409" s="47" t="s">
        <v>17</v>
      </c>
      <c r="B409" s="48" t="s">
        <v>18</v>
      </c>
      <c r="C409" s="47">
        <v>220692</v>
      </c>
      <c r="D409" s="47" t="s">
        <v>146</v>
      </c>
      <c r="E409" s="47" t="s">
        <v>20</v>
      </c>
      <c r="F409" s="49" t="s">
        <v>147</v>
      </c>
      <c r="G409" s="47" t="s">
        <v>890</v>
      </c>
      <c r="H409" s="47" t="s">
        <v>134</v>
      </c>
      <c r="I409" s="47" t="s">
        <v>135</v>
      </c>
      <c r="J409" s="47" t="s">
        <v>25</v>
      </c>
      <c r="K409" s="51">
        <v>35294117.65</v>
      </c>
      <c r="L409" s="47" t="s">
        <v>26</v>
      </c>
      <c r="M409" s="52">
        <f t="shared" si="8"/>
        <v>35294117.65</v>
      </c>
      <c r="N409" s="53">
        <v>0.15</v>
      </c>
      <c r="O409" s="47" t="s">
        <v>891</v>
      </c>
      <c r="P409" s="47" t="s">
        <v>240</v>
      </c>
      <c r="Q409" s="47" t="s">
        <v>29</v>
      </c>
    </row>
    <row r="410" hidden="1" spans="1:17">
      <c r="A410" s="47" t="s">
        <v>17</v>
      </c>
      <c r="B410" s="48" t="s">
        <v>34</v>
      </c>
      <c r="C410" s="47">
        <v>213939</v>
      </c>
      <c r="D410" s="47" t="s">
        <v>252</v>
      </c>
      <c r="E410" s="47" t="s">
        <v>36</v>
      </c>
      <c r="F410" s="49" t="s">
        <v>892</v>
      </c>
      <c r="G410" s="47" t="s">
        <v>893</v>
      </c>
      <c r="H410" s="47" t="s">
        <v>134</v>
      </c>
      <c r="I410" s="47" t="s">
        <v>135</v>
      </c>
      <c r="J410" s="47" t="s">
        <v>143</v>
      </c>
      <c r="K410" s="51">
        <v>3000000</v>
      </c>
      <c r="L410" s="47" t="s">
        <v>26</v>
      </c>
      <c r="M410" s="52">
        <f t="shared" si="8"/>
        <v>3000000</v>
      </c>
      <c r="N410" s="53">
        <v>0.33333</v>
      </c>
      <c r="O410" s="47" t="s">
        <v>894</v>
      </c>
      <c r="P410" s="47" t="s">
        <v>895</v>
      </c>
      <c r="Q410" s="47" t="s">
        <v>65</v>
      </c>
    </row>
    <row r="411" hidden="1" spans="1:17">
      <c r="A411" s="47" t="s">
        <v>17</v>
      </c>
      <c r="B411" s="48" t="s">
        <v>34</v>
      </c>
      <c r="C411" s="47">
        <v>222931</v>
      </c>
      <c r="D411" s="47" t="s">
        <v>252</v>
      </c>
      <c r="E411" s="47" t="s">
        <v>36</v>
      </c>
      <c r="F411" s="49" t="s">
        <v>566</v>
      </c>
      <c r="G411" s="47" t="s">
        <v>896</v>
      </c>
      <c r="H411" s="47" t="s">
        <v>134</v>
      </c>
      <c r="I411" s="47" t="s">
        <v>135</v>
      </c>
      <c r="J411" s="47" t="s">
        <v>25</v>
      </c>
      <c r="K411" s="51">
        <v>10000000</v>
      </c>
      <c r="L411" s="47" t="s">
        <v>26</v>
      </c>
      <c r="M411" s="52">
        <f t="shared" si="8"/>
        <v>10000000</v>
      </c>
      <c r="N411" s="53">
        <v>0.2</v>
      </c>
      <c r="O411" s="47" t="s">
        <v>894</v>
      </c>
      <c r="P411" s="47" t="s">
        <v>897</v>
      </c>
      <c r="Q411" s="47" t="s">
        <v>33</v>
      </c>
    </row>
    <row r="412" hidden="1" spans="1:17">
      <c r="A412" s="47" t="s">
        <v>17</v>
      </c>
      <c r="B412" s="48" t="s">
        <v>40</v>
      </c>
      <c r="C412" s="47">
        <v>222313</v>
      </c>
      <c r="D412" s="47" t="s">
        <v>41</v>
      </c>
      <c r="E412" s="47" t="s">
        <v>42</v>
      </c>
      <c r="F412" s="49" t="s">
        <v>563</v>
      </c>
      <c r="G412" s="47" t="s">
        <v>898</v>
      </c>
      <c r="H412" s="47" t="s">
        <v>134</v>
      </c>
      <c r="I412" s="47" t="s">
        <v>135</v>
      </c>
      <c r="J412" s="47" t="s">
        <v>45</v>
      </c>
      <c r="K412" s="51">
        <v>35000000</v>
      </c>
      <c r="L412" s="47" t="s">
        <v>26</v>
      </c>
      <c r="M412" s="52">
        <f t="shared" si="8"/>
        <v>35000000</v>
      </c>
      <c r="N412" s="53">
        <v>0.15</v>
      </c>
      <c r="O412" s="47" t="s">
        <v>899</v>
      </c>
      <c r="P412" s="47" t="s">
        <v>175</v>
      </c>
      <c r="Q412" s="47" t="s">
        <v>29</v>
      </c>
    </row>
    <row r="413" hidden="1" spans="1:17">
      <c r="A413" s="48" t="s">
        <v>17</v>
      </c>
      <c r="B413" s="48" t="s">
        <v>18</v>
      </c>
      <c r="C413" s="47">
        <v>210397</v>
      </c>
      <c r="D413" s="47" t="s">
        <v>171</v>
      </c>
      <c r="E413" s="47" t="s">
        <v>172</v>
      </c>
      <c r="F413" s="49" t="s">
        <v>900</v>
      </c>
      <c r="G413" s="47" t="s">
        <v>901</v>
      </c>
      <c r="H413" s="47" t="s">
        <v>134</v>
      </c>
      <c r="I413" s="47" t="s">
        <v>135</v>
      </c>
      <c r="J413" s="47" t="s">
        <v>62</v>
      </c>
      <c r="K413" s="51">
        <v>2500000</v>
      </c>
      <c r="L413" s="47" t="s">
        <v>26</v>
      </c>
      <c r="M413" s="52">
        <f t="shared" si="8"/>
        <v>2500000</v>
      </c>
      <c r="N413" s="54"/>
      <c r="O413" s="47" t="s">
        <v>902</v>
      </c>
      <c r="P413" s="47" t="s">
        <v>903</v>
      </c>
      <c r="Q413" s="47" t="s">
        <v>209</v>
      </c>
    </row>
    <row r="414" hidden="1" spans="1:17">
      <c r="A414" s="47" t="s">
        <v>17</v>
      </c>
      <c r="B414" s="48" t="s">
        <v>103</v>
      </c>
      <c r="C414" s="47">
        <v>215753</v>
      </c>
      <c r="D414" s="47" t="s">
        <v>116</v>
      </c>
      <c r="E414" s="47" t="s">
        <v>117</v>
      </c>
      <c r="F414" s="49" t="s">
        <v>670</v>
      </c>
      <c r="G414" s="47" t="s">
        <v>904</v>
      </c>
      <c r="H414" s="47" t="s">
        <v>125</v>
      </c>
      <c r="I414" s="47" t="s">
        <v>135</v>
      </c>
      <c r="J414" s="47" t="s">
        <v>25</v>
      </c>
      <c r="K414" s="51">
        <v>4367816.09</v>
      </c>
      <c r="L414" s="47" t="s">
        <v>26</v>
      </c>
      <c r="M414" s="52">
        <f t="shared" si="8"/>
        <v>4367816.09</v>
      </c>
      <c r="N414" s="53">
        <v>0.13</v>
      </c>
      <c r="O414" s="47" t="s">
        <v>902</v>
      </c>
      <c r="P414" s="47" t="s">
        <v>551</v>
      </c>
      <c r="Q414" s="47" t="s">
        <v>29</v>
      </c>
    </row>
    <row r="415" hidden="1" spans="1:17">
      <c r="A415" s="47" t="s">
        <v>17</v>
      </c>
      <c r="B415" s="48" t="s">
        <v>68</v>
      </c>
      <c r="C415" s="47">
        <v>220384</v>
      </c>
      <c r="D415" s="47" t="s">
        <v>281</v>
      </c>
      <c r="E415" s="47" t="s">
        <v>70</v>
      </c>
      <c r="F415" s="49" t="s">
        <v>905</v>
      </c>
      <c r="G415" s="47" t="s">
        <v>906</v>
      </c>
      <c r="H415" s="47" t="s">
        <v>163</v>
      </c>
      <c r="I415" s="47" t="s">
        <v>135</v>
      </c>
      <c r="J415" s="47" t="s">
        <v>73</v>
      </c>
      <c r="K415" s="51">
        <v>2000000</v>
      </c>
      <c r="L415" s="47" t="s">
        <v>26</v>
      </c>
      <c r="M415" s="52">
        <f t="shared" si="8"/>
        <v>2000000</v>
      </c>
      <c r="N415" s="53">
        <v>0.15</v>
      </c>
      <c r="O415" s="47" t="s">
        <v>902</v>
      </c>
      <c r="P415" s="47" t="s">
        <v>32</v>
      </c>
      <c r="Q415" s="47" t="s">
        <v>29</v>
      </c>
    </row>
    <row r="416" hidden="1" spans="1:17">
      <c r="A416" s="47" t="s">
        <v>17</v>
      </c>
      <c r="B416" s="48" t="s">
        <v>18</v>
      </c>
      <c r="C416" s="47">
        <v>220397</v>
      </c>
      <c r="D416" s="47" t="s">
        <v>747</v>
      </c>
      <c r="E416" s="47" t="s">
        <v>172</v>
      </c>
      <c r="F416" s="49" t="s">
        <v>907</v>
      </c>
      <c r="G416" s="47" t="s">
        <v>908</v>
      </c>
      <c r="H416" s="47" t="s">
        <v>163</v>
      </c>
      <c r="I416" s="47" t="s">
        <v>135</v>
      </c>
      <c r="J416" s="47" t="s">
        <v>45</v>
      </c>
      <c r="K416" s="51">
        <v>20000000</v>
      </c>
      <c r="L416" s="47" t="s">
        <v>26</v>
      </c>
      <c r="M416" s="52">
        <f t="shared" si="8"/>
        <v>20000000</v>
      </c>
      <c r="N416" s="53">
        <v>0.15</v>
      </c>
      <c r="O416" s="47" t="s">
        <v>902</v>
      </c>
      <c r="P416" s="47" t="s">
        <v>32</v>
      </c>
      <c r="Q416" s="47" t="s">
        <v>33</v>
      </c>
    </row>
    <row r="417" hidden="1" spans="1:17">
      <c r="A417" s="47" t="s">
        <v>17</v>
      </c>
      <c r="B417" s="48" t="s">
        <v>18</v>
      </c>
      <c r="C417" s="47">
        <v>220476</v>
      </c>
      <c r="D417" s="47" t="s">
        <v>275</v>
      </c>
      <c r="E417" s="47" t="s">
        <v>20</v>
      </c>
      <c r="F417" s="49" t="s">
        <v>909</v>
      </c>
      <c r="G417" s="47" t="s">
        <v>910</v>
      </c>
      <c r="H417" s="47" t="s">
        <v>134</v>
      </c>
      <c r="I417" s="47" t="s">
        <v>135</v>
      </c>
      <c r="J417" s="47" t="s">
        <v>25</v>
      </c>
      <c r="K417" s="51">
        <v>2500000</v>
      </c>
      <c r="L417" s="47" t="s">
        <v>26</v>
      </c>
      <c r="M417" s="52">
        <f t="shared" si="8"/>
        <v>2500000</v>
      </c>
      <c r="N417" s="53">
        <v>0.2</v>
      </c>
      <c r="O417" s="47" t="s">
        <v>902</v>
      </c>
      <c r="P417" s="47" t="s">
        <v>170</v>
      </c>
      <c r="Q417" s="47" t="s">
        <v>65</v>
      </c>
    </row>
    <row r="418" hidden="1" spans="1:17">
      <c r="A418" s="47" t="s">
        <v>17</v>
      </c>
      <c r="B418" s="48" t="s">
        <v>18</v>
      </c>
      <c r="C418" s="47">
        <v>220472</v>
      </c>
      <c r="D418" s="47" t="s">
        <v>275</v>
      </c>
      <c r="E418" s="47" t="s">
        <v>20</v>
      </c>
      <c r="F418" s="49" t="s">
        <v>909</v>
      </c>
      <c r="G418" s="47" t="s">
        <v>911</v>
      </c>
      <c r="H418" s="47" t="s">
        <v>134</v>
      </c>
      <c r="I418" s="47" t="s">
        <v>135</v>
      </c>
      <c r="J418" s="47" t="s">
        <v>25</v>
      </c>
      <c r="K418" s="51">
        <v>20000000</v>
      </c>
      <c r="L418" s="47" t="s">
        <v>26</v>
      </c>
      <c r="M418" s="52">
        <f t="shared" si="8"/>
        <v>20000000</v>
      </c>
      <c r="N418" s="53">
        <v>0.1</v>
      </c>
      <c r="O418" s="47" t="s">
        <v>902</v>
      </c>
      <c r="P418" s="47" t="s">
        <v>170</v>
      </c>
      <c r="Q418" s="47" t="s">
        <v>259</v>
      </c>
    </row>
    <row r="419" hidden="1" spans="1:17">
      <c r="A419" s="47" t="s">
        <v>17</v>
      </c>
      <c r="B419" s="48" t="s">
        <v>34</v>
      </c>
      <c r="C419" s="47">
        <v>220542</v>
      </c>
      <c r="D419" s="47" t="s">
        <v>36</v>
      </c>
      <c r="E419" s="47" t="s">
        <v>49</v>
      </c>
      <c r="F419" s="49" t="s">
        <v>648</v>
      </c>
      <c r="G419" s="47" t="s">
        <v>912</v>
      </c>
      <c r="H419" s="47" t="s">
        <v>125</v>
      </c>
      <c r="I419" s="47" t="s">
        <v>135</v>
      </c>
      <c r="J419" s="47" t="s">
        <v>143</v>
      </c>
      <c r="K419" s="51">
        <v>3500000</v>
      </c>
      <c r="L419" s="47" t="s">
        <v>26</v>
      </c>
      <c r="M419" s="52">
        <f t="shared" si="8"/>
        <v>3500000</v>
      </c>
      <c r="N419" s="53">
        <v>0.15</v>
      </c>
      <c r="O419" s="47" t="s">
        <v>902</v>
      </c>
      <c r="P419" s="47" t="s">
        <v>226</v>
      </c>
      <c r="Q419" s="47" t="s">
        <v>65</v>
      </c>
    </row>
    <row r="420" hidden="1" spans="1:17">
      <c r="A420" s="47" t="s">
        <v>17</v>
      </c>
      <c r="B420" s="48" t="s">
        <v>68</v>
      </c>
      <c r="C420" s="47">
        <v>220716</v>
      </c>
      <c r="D420" s="47" t="s">
        <v>281</v>
      </c>
      <c r="E420" s="47" t="s">
        <v>70</v>
      </c>
      <c r="F420" s="49" t="s">
        <v>913</v>
      </c>
      <c r="G420" s="47" t="s">
        <v>914</v>
      </c>
      <c r="H420" s="47" t="s">
        <v>134</v>
      </c>
      <c r="I420" s="47" t="s">
        <v>135</v>
      </c>
      <c r="J420" s="47" t="s">
        <v>25</v>
      </c>
      <c r="K420" s="51">
        <v>35000000</v>
      </c>
      <c r="L420" s="47" t="s">
        <v>26</v>
      </c>
      <c r="M420" s="52">
        <f t="shared" si="8"/>
        <v>35000000</v>
      </c>
      <c r="N420" s="54"/>
      <c r="O420" s="47" t="s">
        <v>902</v>
      </c>
      <c r="P420" s="47" t="s">
        <v>219</v>
      </c>
      <c r="Q420" s="47" t="s">
        <v>29</v>
      </c>
    </row>
    <row r="421" hidden="1" spans="1:17">
      <c r="A421" s="47" t="s">
        <v>17</v>
      </c>
      <c r="B421" s="48" t="s">
        <v>68</v>
      </c>
      <c r="C421" s="47">
        <v>220718</v>
      </c>
      <c r="D421" s="47" t="s">
        <v>281</v>
      </c>
      <c r="E421" s="47" t="s">
        <v>70</v>
      </c>
      <c r="F421" s="49" t="s">
        <v>422</v>
      </c>
      <c r="G421" s="47" t="s">
        <v>915</v>
      </c>
      <c r="H421" s="47" t="s">
        <v>163</v>
      </c>
      <c r="I421" s="47" t="s">
        <v>135</v>
      </c>
      <c r="J421" s="47" t="s">
        <v>25</v>
      </c>
      <c r="K421" s="51">
        <v>20000000</v>
      </c>
      <c r="L421" s="47" t="s">
        <v>26</v>
      </c>
      <c r="M421" s="52">
        <f t="shared" si="8"/>
        <v>20000000</v>
      </c>
      <c r="N421" s="53">
        <v>0.15</v>
      </c>
      <c r="O421" s="47" t="s">
        <v>902</v>
      </c>
      <c r="P421" s="47" t="s">
        <v>219</v>
      </c>
      <c r="Q421" s="47" t="s">
        <v>29</v>
      </c>
    </row>
    <row r="422" hidden="1" spans="1:17">
      <c r="A422" s="47" t="s">
        <v>17</v>
      </c>
      <c r="B422" s="48" t="s">
        <v>34</v>
      </c>
      <c r="C422" s="47">
        <v>222470</v>
      </c>
      <c r="D422" s="47" t="s">
        <v>738</v>
      </c>
      <c r="E422" s="47" t="s">
        <v>621</v>
      </c>
      <c r="F422" s="49" t="s">
        <v>739</v>
      </c>
      <c r="G422" s="47" t="s">
        <v>916</v>
      </c>
      <c r="H422" s="47" t="s">
        <v>134</v>
      </c>
      <c r="I422" s="47" t="s">
        <v>135</v>
      </c>
      <c r="J422" s="47" t="s">
        <v>741</v>
      </c>
      <c r="K422" s="51">
        <v>60000000</v>
      </c>
      <c r="L422" s="47" t="s">
        <v>26</v>
      </c>
      <c r="M422" s="52">
        <f t="shared" si="8"/>
        <v>60000000</v>
      </c>
      <c r="N422" s="53">
        <v>0.2</v>
      </c>
      <c r="O422" s="47" t="s">
        <v>902</v>
      </c>
      <c r="P422" s="47" t="s">
        <v>480</v>
      </c>
      <c r="Q422" s="47" t="s">
        <v>209</v>
      </c>
    </row>
    <row r="423" hidden="1" spans="1:17">
      <c r="A423" s="47" t="s">
        <v>17</v>
      </c>
      <c r="B423" s="48" t="s">
        <v>34</v>
      </c>
      <c r="C423" s="47">
        <v>222854</v>
      </c>
      <c r="D423" s="47" t="s">
        <v>36</v>
      </c>
      <c r="E423" s="47" t="s">
        <v>49</v>
      </c>
      <c r="F423" s="49" t="s">
        <v>648</v>
      </c>
      <c r="G423" s="47" t="s">
        <v>917</v>
      </c>
      <c r="H423" s="47" t="s">
        <v>134</v>
      </c>
      <c r="I423" s="47" t="s">
        <v>135</v>
      </c>
      <c r="J423" s="47" t="s">
        <v>45</v>
      </c>
      <c r="K423" s="55">
        <v>200000</v>
      </c>
      <c r="L423" s="47" t="s">
        <v>361</v>
      </c>
      <c r="M423" s="48">
        <f>K423*89</f>
        <v>17800000</v>
      </c>
      <c r="N423" s="54"/>
      <c r="O423" s="47" t="s">
        <v>902</v>
      </c>
      <c r="P423" s="47" t="s">
        <v>139</v>
      </c>
      <c r="Q423" s="47" t="s">
        <v>29</v>
      </c>
    </row>
    <row r="424" hidden="1" spans="1:17">
      <c r="A424" s="47" t="s">
        <v>17</v>
      </c>
      <c r="B424" s="48" t="s">
        <v>34</v>
      </c>
      <c r="C424" s="47">
        <v>223061</v>
      </c>
      <c r="D424" s="47" t="s">
        <v>738</v>
      </c>
      <c r="E424" s="47" t="s">
        <v>621</v>
      </c>
      <c r="F424" s="49" t="s">
        <v>739</v>
      </c>
      <c r="G424" s="47" t="s">
        <v>918</v>
      </c>
      <c r="H424" s="47" t="s">
        <v>134</v>
      </c>
      <c r="I424" s="47" t="s">
        <v>135</v>
      </c>
      <c r="J424" s="47" t="s">
        <v>741</v>
      </c>
      <c r="K424" s="51">
        <v>100000000</v>
      </c>
      <c r="L424" s="47" t="s">
        <v>26</v>
      </c>
      <c r="M424" s="52">
        <f t="shared" ref="M424:M427" si="9">K424</f>
        <v>100000000</v>
      </c>
      <c r="N424" s="53">
        <v>0.2</v>
      </c>
      <c r="O424" s="47" t="s">
        <v>902</v>
      </c>
      <c r="P424" s="47" t="s">
        <v>919</v>
      </c>
      <c r="Q424" s="47" t="s">
        <v>29</v>
      </c>
    </row>
    <row r="425" hidden="1" spans="1:17">
      <c r="A425" s="47" t="s">
        <v>17</v>
      </c>
      <c r="B425" s="48" t="s">
        <v>68</v>
      </c>
      <c r="C425" s="47">
        <v>223242</v>
      </c>
      <c r="D425" s="47" t="s">
        <v>632</v>
      </c>
      <c r="E425" s="47" t="s">
        <v>70</v>
      </c>
      <c r="F425" s="49" t="s">
        <v>920</v>
      </c>
      <c r="G425" s="47" t="s">
        <v>921</v>
      </c>
      <c r="H425" s="47" t="s">
        <v>134</v>
      </c>
      <c r="I425" s="47" t="s">
        <v>135</v>
      </c>
      <c r="J425" s="47" t="s">
        <v>25</v>
      </c>
      <c r="K425" s="51">
        <v>113636363.64</v>
      </c>
      <c r="L425" s="47" t="s">
        <v>26</v>
      </c>
      <c r="M425" s="52">
        <f t="shared" si="9"/>
        <v>113636363.64</v>
      </c>
      <c r="N425" s="53">
        <v>0.12</v>
      </c>
      <c r="O425" s="47" t="s">
        <v>902</v>
      </c>
      <c r="P425" s="47" t="s">
        <v>47</v>
      </c>
      <c r="Q425" s="47" t="s">
        <v>33</v>
      </c>
    </row>
    <row r="426" hidden="1" spans="1:17">
      <c r="A426" s="47" t="s">
        <v>17</v>
      </c>
      <c r="B426" s="48" t="s">
        <v>68</v>
      </c>
      <c r="C426" s="47">
        <v>223243</v>
      </c>
      <c r="D426" s="47" t="s">
        <v>281</v>
      </c>
      <c r="E426" s="47" t="s">
        <v>70</v>
      </c>
      <c r="F426" s="49" t="s">
        <v>786</v>
      </c>
      <c r="G426" s="47" t="s">
        <v>922</v>
      </c>
      <c r="H426" s="47" t="s">
        <v>163</v>
      </c>
      <c r="I426" s="47" t="s">
        <v>135</v>
      </c>
      <c r="J426" s="47" t="s">
        <v>25</v>
      </c>
      <c r="K426" s="51">
        <v>1499999.99994231</v>
      </c>
      <c r="L426" s="47" t="s">
        <v>26</v>
      </c>
      <c r="M426" s="52">
        <f t="shared" si="9"/>
        <v>1499999.99994231</v>
      </c>
      <c r="N426" s="53">
        <v>0.13333</v>
      </c>
      <c r="O426" s="47" t="s">
        <v>902</v>
      </c>
      <c r="P426" s="47" t="s">
        <v>47</v>
      </c>
      <c r="Q426" s="47" t="s">
        <v>209</v>
      </c>
    </row>
    <row r="427" hidden="1" spans="1:17">
      <c r="A427" s="48" t="s">
        <v>17</v>
      </c>
      <c r="B427" s="47" t="s">
        <v>241</v>
      </c>
      <c r="C427" s="47">
        <v>207672</v>
      </c>
      <c r="D427" s="47" t="s">
        <v>326</v>
      </c>
      <c r="E427" s="47" t="s">
        <v>117</v>
      </c>
      <c r="F427" s="49" t="s">
        <v>923</v>
      </c>
      <c r="G427" s="47" t="s">
        <v>924</v>
      </c>
      <c r="H427" s="47" t="s">
        <v>149</v>
      </c>
      <c r="I427" s="47" t="s">
        <v>126</v>
      </c>
      <c r="J427" s="47" t="s">
        <v>25</v>
      </c>
      <c r="K427" s="51">
        <v>48780487.8</v>
      </c>
      <c r="L427" s="47" t="s">
        <v>26</v>
      </c>
      <c r="M427" s="52">
        <f t="shared" si="9"/>
        <v>48780487.8</v>
      </c>
      <c r="N427" s="53">
        <v>0.18</v>
      </c>
      <c r="O427" s="47" t="s">
        <v>925</v>
      </c>
      <c r="P427" s="47" t="s">
        <v>926</v>
      </c>
      <c r="Q427" s="47" t="s">
        <v>29</v>
      </c>
    </row>
    <row r="428" hidden="1" spans="1:17">
      <c r="A428" s="48" t="s">
        <v>17</v>
      </c>
      <c r="B428" s="47" t="s">
        <v>34</v>
      </c>
      <c r="C428" s="47">
        <v>207780</v>
      </c>
      <c r="D428" s="47" t="s">
        <v>35</v>
      </c>
      <c r="E428" s="47" t="s">
        <v>36</v>
      </c>
      <c r="F428" s="49" t="s">
        <v>927</v>
      </c>
      <c r="G428" s="47" t="s">
        <v>928</v>
      </c>
      <c r="H428" s="47" t="s">
        <v>163</v>
      </c>
      <c r="I428" s="47" t="s">
        <v>135</v>
      </c>
      <c r="J428" s="47" t="s">
        <v>25</v>
      </c>
      <c r="K428" s="55">
        <v>78292</v>
      </c>
      <c r="L428" s="47" t="s">
        <v>361</v>
      </c>
      <c r="M428" s="48">
        <f>K428*89</f>
        <v>6967988</v>
      </c>
      <c r="N428" s="53">
        <v>0.32524</v>
      </c>
      <c r="O428" s="47" t="s">
        <v>925</v>
      </c>
      <c r="P428" s="47" t="s">
        <v>486</v>
      </c>
      <c r="Q428" s="47" t="s">
        <v>33</v>
      </c>
    </row>
    <row r="429" hidden="1" spans="1:17">
      <c r="A429" s="47" t="s">
        <v>17</v>
      </c>
      <c r="B429" s="48" t="s">
        <v>18</v>
      </c>
      <c r="C429" s="47">
        <v>212759</v>
      </c>
      <c r="D429" s="47" t="s">
        <v>171</v>
      </c>
      <c r="E429" s="47" t="s">
        <v>172</v>
      </c>
      <c r="F429" s="49" t="s">
        <v>929</v>
      </c>
      <c r="G429" s="47" t="s">
        <v>930</v>
      </c>
      <c r="H429" s="47" t="s">
        <v>134</v>
      </c>
      <c r="I429" s="47" t="s">
        <v>135</v>
      </c>
      <c r="J429" s="47" t="s">
        <v>25</v>
      </c>
      <c r="K429" s="51">
        <v>1000000</v>
      </c>
      <c r="L429" s="47" t="s">
        <v>26</v>
      </c>
      <c r="M429" s="52">
        <f t="shared" ref="M429:M482" si="10">K429</f>
        <v>1000000</v>
      </c>
      <c r="N429" s="54"/>
      <c r="O429" s="47" t="s">
        <v>925</v>
      </c>
      <c r="P429" s="47" t="s">
        <v>728</v>
      </c>
      <c r="Q429" s="47" t="s">
        <v>29</v>
      </c>
    </row>
    <row r="430" hidden="1" spans="1:17">
      <c r="A430" s="47" t="s">
        <v>17</v>
      </c>
      <c r="B430" s="48" t="s">
        <v>18</v>
      </c>
      <c r="C430" s="47">
        <v>214277</v>
      </c>
      <c r="D430" s="47" t="s">
        <v>171</v>
      </c>
      <c r="E430" s="47" t="s">
        <v>172</v>
      </c>
      <c r="F430" s="49" t="s">
        <v>929</v>
      </c>
      <c r="G430" s="47" t="s">
        <v>931</v>
      </c>
      <c r="H430" s="47" t="s">
        <v>134</v>
      </c>
      <c r="I430" s="47" t="s">
        <v>135</v>
      </c>
      <c r="J430" s="47" t="s">
        <v>25</v>
      </c>
      <c r="K430" s="51">
        <v>5500000</v>
      </c>
      <c r="L430" s="47" t="s">
        <v>26</v>
      </c>
      <c r="M430" s="52">
        <f t="shared" si="10"/>
        <v>5500000</v>
      </c>
      <c r="N430" s="53">
        <v>0.1</v>
      </c>
      <c r="O430" s="47" t="s">
        <v>925</v>
      </c>
      <c r="P430" s="47" t="s">
        <v>355</v>
      </c>
      <c r="Q430" s="47" t="s">
        <v>209</v>
      </c>
    </row>
    <row r="431" hidden="1" spans="1:17">
      <c r="A431" s="47" t="s">
        <v>17</v>
      </c>
      <c r="B431" s="48" t="s">
        <v>103</v>
      </c>
      <c r="C431" s="47">
        <v>215759</v>
      </c>
      <c r="D431" s="47" t="s">
        <v>116</v>
      </c>
      <c r="E431" s="47" t="s">
        <v>117</v>
      </c>
      <c r="F431" s="49" t="s">
        <v>546</v>
      </c>
      <c r="G431" s="47" t="s">
        <v>932</v>
      </c>
      <c r="H431" s="47" t="s">
        <v>125</v>
      </c>
      <c r="I431" s="47" t="s">
        <v>126</v>
      </c>
      <c r="J431" s="47" t="s">
        <v>25</v>
      </c>
      <c r="K431" s="51">
        <v>150000000</v>
      </c>
      <c r="L431" s="47" t="s">
        <v>26</v>
      </c>
      <c r="M431" s="52">
        <f t="shared" si="10"/>
        <v>150000000</v>
      </c>
      <c r="N431" s="53">
        <v>0.1</v>
      </c>
      <c r="O431" s="47" t="s">
        <v>925</v>
      </c>
      <c r="P431" s="47" t="s">
        <v>551</v>
      </c>
      <c r="Q431" s="47" t="s">
        <v>100</v>
      </c>
    </row>
    <row r="432" hidden="1" spans="1:17">
      <c r="A432" s="47" t="s">
        <v>17</v>
      </c>
      <c r="B432" s="48" t="s">
        <v>18</v>
      </c>
      <c r="C432" s="47">
        <v>215892</v>
      </c>
      <c r="D432" s="47" t="s">
        <v>171</v>
      </c>
      <c r="E432" s="47" t="s">
        <v>172</v>
      </c>
      <c r="F432" s="49" t="s">
        <v>197</v>
      </c>
      <c r="G432" s="47" t="s">
        <v>933</v>
      </c>
      <c r="H432" s="47" t="s">
        <v>134</v>
      </c>
      <c r="I432" s="47" t="s">
        <v>135</v>
      </c>
      <c r="J432" s="47" t="s">
        <v>25</v>
      </c>
      <c r="K432" s="51">
        <v>10000000</v>
      </c>
      <c r="L432" s="47" t="s">
        <v>26</v>
      </c>
      <c r="M432" s="52">
        <f t="shared" si="10"/>
        <v>10000000</v>
      </c>
      <c r="N432" s="54"/>
      <c r="O432" s="47" t="s">
        <v>925</v>
      </c>
      <c r="P432" s="47" t="s">
        <v>417</v>
      </c>
      <c r="Q432" s="47" t="s">
        <v>100</v>
      </c>
    </row>
    <row r="433" hidden="1" spans="1:17">
      <c r="A433" s="47" t="s">
        <v>17</v>
      </c>
      <c r="B433" s="48" t="s">
        <v>68</v>
      </c>
      <c r="C433" s="47">
        <v>220029</v>
      </c>
      <c r="D433" s="47" t="s">
        <v>632</v>
      </c>
      <c r="E433" s="47" t="s">
        <v>70</v>
      </c>
      <c r="F433" s="49" t="s">
        <v>934</v>
      </c>
      <c r="G433" s="47" t="s">
        <v>935</v>
      </c>
      <c r="H433" s="47" t="s">
        <v>163</v>
      </c>
      <c r="I433" s="47" t="s">
        <v>135</v>
      </c>
      <c r="J433" s="47" t="s">
        <v>25</v>
      </c>
      <c r="K433" s="51">
        <v>5000000</v>
      </c>
      <c r="L433" s="47" t="s">
        <v>26</v>
      </c>
      <c r="M433" s="52">
        <f t="shared" si="10"/>
        <v>5000000</v>
      </c>
      <c r="N433" s="53">
        <v>0.2</v>
      </c>
      <c r="O433" s="47" t="s">
        <v>925</v>
      </c>
      <c r="P433" s="47" t="s">
        <v>373</v>
      </c>
      <c r="Q433" s="47" t="s">
        <v>100</v>
      </c>
    </row>
    <row r="434" hidden="1" spans="1:17">
      <c r="A434" s="47" t="s">
        <v>17</v>
      </c>
      <c r="B434" s="48" t="s">
        <v>103</v>
      </c>
      <c r="C434" s="47">
        <v>220378</v>
      </c>
      <c r="D434" s="47" t="s">
        <v>326</v>
      </c>
      <c r="E434" s="47" t="s">
        <v>117</v>
      </c>
      <c r="F434" s="49" t="s">
        <v>327</v>
      </c>
      <c r="G434" s="47" t="s">
        <v>936</v>
      </c>
      <c r="H434" s="47" t="s">
        <v>163</v>
      </c>
      <c r="I434" s="47" t="s">
        <v>135</v>
      </c>
      <c r="J434" s="47" t="s">
        <v>25</v>
      </c>
      <c r="K434" s="51">
        <v>3500000</v>
      </c>
      <c r="L434" s="47" t="s">
        <v>26</v>
      </c>
      <c r="M434" s="52">
        <f t="shared" si="10"/>
        <v>3500000</v>
      </c>
      <c r="N434" s="53">
        <v>0.14286</v>
      </c>
      <c r="O434" s="47" t="s">
        <v>925</v>
      </c>
      <c r="P434" s="47" t="s">
        <v>32</v>
      </c>
      <c r="Q434" s="47" t="s">
        <v>29</v>
      </c>
    </row>
    <row r="435" hidden="1" spans="1:17">
      <c r="A435" s="47" t="s">
        <v>17</v>
      </c>
      <c r="B435" s="48" t="s">
        <v>68</v>
      </c>
      <c r="C435" s="47">
        <v>220458</v>
      </c>
      <c r="D435" s="47" t="s">
        <v>632</v>
      </c>
      <c r="E435" s="47" t="s">
        <v>70</v>
      </c>
      <c r="F435" s="49" t="s">
        <v>937</v>
      </c>
      <c r="G435" s="47" t="s">
        <v>938</v>
      </c>
      <c r="H435" s="47" t="s">
        <v>125</v>
      </c>
      <c r="I435" s="47" t="s">
        <v>135</v>
      </c>
      <c r="J435" s="47" t="s">
        <v>25</v>
      </c>
      <c r="K435" s="51">
        <v>80000000</v>
      </c>
      <c r="L435" s="47" t="s">
        <v>26</v>
      </c>
      <c r="M435" s="52">
        <f t="shared" si="10"/>
        <v>80000000</v>
      </c>
      <c r="N435" s="53">
        <v>0.125</v>
      </c>
      <c r="O435" s="47" t="s">
        <v>925</v>
      </c>
      <c r="P435" s="47" t="s">
        <v>170</v>
      </c>
      <c r="Q435" s="47" t="s">
        <v>100</v>
      </c>
    </row>
    <row r="436" hidden="1" spans="1:17">
      <c r="A436" s="47" t="s">
        <v>17</v>
      </c>
      <c r="B436" s="48" t="s">
        <v>34</v>
      </c>
      <c r="C436" s="47">
        <v>220468</v>
      </c>
      <c r="D436" s="47" t="s">
        <v>278</v>
      </c>
      <c r="E436" s="47" t="s">
        <v>36</v>
      </c>
      <c r="F436" s="49" t="s">
        <v>399</v>
      </c>
      <c r="G436" s="47" t="s">
        <v>939</v>
      </c>
      <c r="H436" s="47" t="s">
        <v>134</v>
      </c>
      <c r="I436" s="47" t="s">
        <v>135</v>
      </c>
      <c r="J436" s="47" t="s">
        <v>741</v>
      </c>
      <c r="K436" s="51">
        <v>50000000</v>
      </c>
      <c r="L436" s="47" t="s">
        <v>26</v>
      </c>
      <c r="M436" s="52">
        <f t="shared" si="10"/>
        <v>50000000</v>
      </c>
      <c r="N436" s="53">
        <v>0.1</v>
      </c>
      <c r="O436" s="47" t="s">
        <v>925</v>
      </c>
      <c r="P436" s="47" t="s">
        <v>170</v>
      </c>
      <c r="Q436" s="47" t="s">
        <v>29</v>
      </c>
    </row>
    <row r="437" hidden="1" spans="1:17">
      <c r="A437" s="47" t="s">
        <v>17</v>
      </c>
      <c r="B437" s="48" t="s">
        <v>18</v>
      </c>
      <c r="C437" s="47">
        <v>220450</v>
      </c>
      <c r="D437" s="47" t="s">
        <v>171</v>
      </c>
      <c r="E437" s="47" t="s">
        <v>172</v>
      </c>
      <c r="F437" s="49" t="s">
        <v>290</v>
      </c>
      <c r="G437" s="47" t="s">
        <v>940</v>
      </c>
      <c r="H437" s="47" t="s">
        <v>163</v>
      </c>
      <c r="I437" s="47" t="s">
        <v>135</v>
      </c>
      <c r="J437" s="47" t="s">
        <v>25</v>
      </c>
      <c r="K437" s="51">
        <v>15000000</v>
      </c>
      <c r="L437" s="47" t="s">
        <v>26</v>
      </c>
      <c r="M437" s="52">
        <f t="shared" si="10"/>
        <v>15000000</v>
      </c>
      <c r="N437" s="53">
        <v>0.12</v>
      </c>
      <c r="O437" s="47" t="s">
        <v>925</v>
      </c>
      <c r="P437" s="47" t="s">
        <v>170</v>
      </c>
      <c r="Q437" s="47" t="s">
        <v>100</v>
      </c>
    </row>
    <row r="438" hidden="1" spans="1:17">
      <c r="A438" s="47" t="s">
        <v>17</v>
      </c>
      <c r="B438" s="48" t="s">
        <v>34</v>
      </c>
      <c r="C438" s="47">
        <v>220479</v>
      </c>
      <c r="D438" s="47" t="s">
        <v>278</v>
      </c>
      <c r="E438" s="47" t="s">
        <v>36</v>
      </c>
      <c r="F438" s="49" t="s">
        <v>279</v>
      </c>
      <c r="G438" s="47" t="s">
        <v>941</v>
      </c>
      <c r="H438" s="47" t="s">
        <v>163</v>
      </c>
      <c r="I438" s="47" t="s">
        <v>135</v>
      </c>
      <c r="J438" s="47" t="s">
        <v>25</v>
      </c>
      <c r="K438" s="51">
        <v>14999999.9994231</v>
      </c>
      <c r="L438" s="47" t="s">
        <v>26</v>
      </c>
      <c r="M438" s="52">
        <f t="shared" si="10"/>
        <v>14999999.9994231</v>
      </c>
      <c r="N438" s="53">
        <v>0.13333</v>
      </c>
      <c r="O438" s="47" t="s">
        <v>925</v>
      </c>
      <c r="P438" s="47" t="s">
        <v>170</v>
      </c>
      <c r="Q438" s="47" t="s">
        <v>33</v>
      </c>
    </row>
    <row r="439" hidden="1" spans="1:17">
      <c r="A439" s="47" t="s">
        <v>17</v>
      </c>
      <c r="B439" s="48" t="s">
        <v>68</v>
      </c>
      <c r="C439" s="47">
        <v>220699</v>
      </c>
      <c r="D439" s="47" t="s">
        <v>632</v>
      </c>
      <c r="E439" s="47" t="s">
        <v>70</v>
      </c>
      <c r="F439" s="49" t="s">
        <v>934</v>
      </c>
      <c r="G439" s="47" t="s">
        <v>942</v>
      </c>
      <c r="H439" s="47" t="s">
        <v>134</v>
      </c>
      <c r="I439" s="47" t="s">
        <v>135</v>
      </c>
      <c r="J439" s="47" t="s">
        <v>25</v>
      </c>
      <c r="K439" s="51">
        <v>10000000</v>
      </c>
      <c r="L439" s="47" t="s">
        <v>26</v>
      </c>
      <c r="M439" s="52">
        <f t="shared" si="10"/>
        <v>10000000</v>
      </c>
      <c r="N439" s="53">
        <v>0.2</v>
      </c>
      <c r="O439" s="47" t="s">
        <v>925</v>
      </c>
      <c r="P439" s="47" t="s">
        <v>240</v>
      </c>
      <c r="Q439" s="47" t="s">
        <v>100</v>
      </c>
    </row>
    <row r="440" hidden="1" spans="1:17">
      <c r="A440" s="47" t="s">
        <v>17</v>
      </c>
      <c r="B440" s="48" t="s">
        <v>34</v>
      </c>
      <c r="C440" s="47">
        <v>220730</v>
      </c>
      <c r="D440" s="47" t="s">
        <v>278</v>
      </c>
      <c r="E440" s="47" t="s">
        <v>36</v>
      </c>
      <c r="F440" s="49" t="s">
        <v>943</v>
      </c>
      <c r="G440" s="47" t="s">
        <v>944</v>
      </c>
      <c r="H440" s="47" t="s">
        <v>134</v>
      </c>
      <c r="I440" s="47" t="s">
        <v>135</v>
      </c>
      <c r="J440" s="47" t="s">
        <v>73</v>
      </c>
      <c r="K440" s="51">
        <v>50000000</v>
      </c>
      <c r="L440" s="47" t="s">
        <v>26</v>
      </c>
      <c r="M440" s="52">
        <f t="shared" si="10"/>
        <v>50000000</v>
      </c>
      <c r="N440" s="53">
        <v>0.1</v>
      </c>
      <c r="O440" s="47" t="s">
        <v>925</v>
      </c>
      <c r="P440" s="47" t="s">
        <v>219</v>
      </c>
      <c r="Q440" s="47" t="s">
        <v>33</v>
      </c>
    </row>
    <row r="441" hidden="1" spans="1:17">
      <c r="A441" s="47" t="s">
        <v>17</v>
      </c>
      <c r="B441" s="48" t="s">
        <v>18</v>
      </c>
      <c r="C441" s="47">
        <v>222264</v>
      </c>
      <c r="D441" s="47" t="s">
        <v>171</v>
      </c>
      <c r="E441" s="47" t="s">
        <v>172</v>
      </c>
      <c r="F441" s="49" t="s">
        <v>945</v>
      </c>
      <c r="G441" s="47" t="s">
        <v>946</v>
      </c>
      <c r="H441" s="47" t="s">
        <v>134</v>
      </c>
      <c r="I441" s="47" t="s">
        <v>135</v>
      </c>
      <c r="J441" s="47" t="s">
        <v>25</v>
      </c>
      <c r="K441" s="51">
        <v>100000000</v>
      </c>
      <c r="L441" s="47" t="s">
        <v>26</v>
      </c>
      <c r="M441" s="52">
        <f t="shared" si="10"/>
        <v>100000000</v>
      </c>
      <c r="N441" s="54"/>
      <c r="O441" s="47" t="s">
        <v>925</v>
      </c>
      <c r="P441" s="47" t="s">
        <v>501</v>
      </c>
      <c r="Q441" s="47" t="s">
        <v>100</v>
      </c>
    </row>
    <row r="442" hidden="1" spans="1:17">
      <c r="A442" s="47" t="s">
        <v>17</v>
      </c>
      <c r="B442" s="48" t="s">
        <v>103</v>
      </c>
      <c r="C442" s="47">
        <v>222290</v>
      </c>
      <c r="D442" s="47" t="s">
        <v>104</v>
      </c>
      <c r="E442" s="47" t="s">
        <v>105</v>
      </c>
      <c r="F442" s="49" t="s">
        <v>432</v>
      </c>
      <c r="G442" s="47" t="s">
        <v>947</v>
      </c>
      <c r="H442" s="47" t="s">
        <v>163</v>
      </c>
      <c r="I442" s="47" t="s">
        <v>135</v>
      </c>
      <c r="J442" s="47" t="s">
        <v>25</v>
      </c>
      <c r="K442" s="51">
        <v>1400000000</v>
      </c>
      <c r="L442" s="47" t="s">
        <v>26</v>
      </c>
      <c r="M442" s="52">
        <f t="shared" si="10"/>
        <v>1400000000</v>
      </c>
      <c r="N442" s="53">
        <v>0.04</v>
      </c>
      <c r="O442" s="47" t="s">
        <v>925</v>
      </c>
      <c r="P442" s="47" t="s">
        <v>501</v>
      </c>
      <c r="Q442" s="47" t="s">
        <v>29</v>
      </c>
    </row>
    <row r="443" hidden="1" spans="1:17">
      <c r="A443" s="47" t="s">
        <v>17</v>
      </c>
      <c r="B443" s="48" t="s">
        <v>68</v>
      </c>
      <c r="C443" s="47">
        <v>222500</v>
      </c>
      <c r="D443" s="47" t="s">
        <v>69</v>
      </c>
      <c r="E443" s="47" t="s">
        <v>70</v>
      </c>
      <c r="F443" s="49" t="s">
        <v>794</v>
      </c>
      <c r="G443" s="47" t="s">
        <v>948</v>
      </c>
      <c r="H443" s="47" t="s">
        <v>134</v>
      </c>
      <c r="I443" s="47" t="s">
        <v>135</v>
      </c>
      <c r="J443" s="47" t="s">
        <v>25</v>
      </c>
      <c r="K443" s="51">
        <v>9999999.99999752</v>
      </c>
      <c r="L443" s="47" t="s">
        <v>26</v>
      </c>
      <c r="M443" s="52">
        <f t="shared" si="10"/>
        <v>9999999.99999752</v>
      </c>
      <c r="N443" s="53">
        <v>0.12</v>
      </c>
      <c r="O443" s="47" t="s">
        <v>925</v>
      </c>
      <c r="P443" s="47" t="s">
        <v>180</v>
      </c>
      <c r="Q443" s="47" t="s">
        <v>33</v>
      </c>
    </row>
    <row r="444" hidden="1" spans="1:17">
      <c r="A444" s="47" t="s">
        <v>17</v>
      </c>
      <c r="B444" s="48" t="s">
        <v>68</v>
      </c>
      <c r="C444" s="47">
        <v>222501</v>
      </c>
      <c r="D444" s="47" t="s">
        <v>69</v>
      </c>
      <c r="E444" s="47" t="s">
        <v>70</v>
      </c>
      <c r="F444" s="49" t="s">
        <v>794</v>
      </c>
      <c r="G444" s="47" t="s">
        <v>949</v>
      </c>
      <c r="H444" s="47" t="s">
        <v>134</v>
      </c>
      <c r="I444" s="47" t="s">
        <v>135</v>
      </c>
      <c r="J444" s="47" t="s">
        <v>25</v>
      </c>
      <c r="K444" s="51">
        <v>10000000</v>
      </c>
      <c r="L444" s="47" t="s">
        <v>26</v>
      </c>
      <c r="M444" s="52">
        <f t="shared" si="10"/>
        <v>10000000</v>
      </c>
      <c r="N444" s="53">
        <v>0.14</v>
      </c>
      <c r="O444" s="47" t="s">
        <v>925</v>
      </c>
      <c r="P444" s="47" t="s">
        <v>180</v>
      </c>
      <c r="Q444" s="47" t="s">
        <v>29</v>
      </c>
    </row>
    <row r="445" hidden="1" spans="1:17">
      <c r="A445" s="47" t="s">
        <v>17</v>
      </c>
      <c r="B445" s="48" t="s">
        <v>34</v>
      </c>
      <c r="C445" s="47">
        <v>223060</v>
      </c>
      <c r="D445" s="47" t="s">
        <v>738</v>
      </c>
      <c r="E445" s="47" t="s">
        <v>621</v>
      </c>
      <c r="F445" s="49" t="s">
        <v>950</v>
      </c>
      <c r="G445" s="47" t="s">
        <v>951</v>
      </c>
      <c r="H445" s="47" t="s">
        <v>134</v>
      </c>
      <c r="I445" s="47" t="s">
        <v>135</v>
      </c>
      <c r="J445" s="47" t="s">
        <v>25</v>
      </c>
      <c r="K445" s="51">
        <v>100000000</v>
      </c>
      <c r="L445" s="47" t="s">
        <v>26</v>
      </c>
      <c r="M445" s="52">
        <f t="shared" si="10"/>
        <v>100000000</v>
      </c>
      <c r="N445" s="53">
        <v>0.15</v>
      </c>
      <c r="O445" s="47" t="s">
        <v>925</v>
      </c>
      <c r="P445" s="47" t="s">
        <v>919</v>
      </c>
      <c r="Q445" s="47" t="s">
        <v>100</v>
      </c>
    </row>
    <row r="446" hidden="1" spans="1:17">
      <c r="A446" s="47" t="s">
        <v>17</v>
      </c>
      <c r="B446" s="48" t="s">
        <v>103</v>
      </c>
      <c r="C446" s="47">
        <v>223911</v>
      </c>
      <c r="D446" s="47" t="s">
        <v>326</v>
      </c>
      <c r="E446" s="47" t="s">
        <v>117</v>
      </c>
      <c r="F446" s="49" t="s">
        <v>952</v>
      </c>
      <c r="G446" s="47" t="s">
        <v>953</v>
      </c>
      <c r="H446" s="47" t="s">
        <v>134</v>
      </c>
      <c r="I446" s="47" t="s">
        <v>135</v>
      </c>
      <c r="J446" s="47" t="s">
        <v>25</v>
      </c>
      <c r="K446" s="51">
        <v>7142857.14</v>
      </c>
      <c r="L446" s="47" t="s">
        <v>26</v>
      </c>
      <c r="M446" s="52">
        <f t="shared" si="10"/>
        <v>7142857.14</v>
      </c>
      <c r="N446" s="53">
        <v>0.16</v>
      </c>
      <c r="O446" s="47" t="s">
        <v>925</v>
      </c>
      <c r="P446" s="47" t="s">
        <v>99</v>
      </c>
      <c r="Q446" s="47" t="s">
        <v>29</v>
      </c>
    </row>
    <row r="447" hidden="1" spans="1:17">
      <c r="A447" s="47" t="s">
        <v>17</v>
      </c>
      <c r="B447" s="48" t="s">
        <v>40</v>
      </c>
      <c r="C447" s="47">
        <v>220056</v>
      </c>
      <c r="D447" s="47" t="s">
        <v>210</v>
      </c>
      <c r="E447" s="47" t="s">
        <v>42</v>
      </c>
      <c r="F447" s="49" t="s">
        <v>371</v>
      </c>
      <c r="G447" s="47" t="s">
        <v>954</v>
      </c>
      <c r="H447" s="47" t="s">
        <v>134</v>
      </c>
      <c r="I447" s="47" t="s">
        <v>135</v>
      </c>
      <c r="J447" s="47" t="s">
        <v>25</v>
      </c>
      <c r="K447" s="51">
        <v>150000000</v>
      </c>
      <c r="L447" s="47" t="s">
        <v>26</v>
      </c>
      <c r="M447" s="52">
        <f t="shared" si="10"/>
        <v>150000000</v>
      </c>
      <c r="N447" s="53">
        <v>0.2</v>
      </c>
      <c r="O447" s="47" t="s">
        <v>955</v>
      </c>
      <c r="P447" s="47" t="s">
        <v>373</v>
      </c>
      <c r="Q447" s="47" t="s">
        <v>209</v>
      </c>
    </row>
    <row r="448" hidden="1" spans="1:17">
      <c r="A448" s="47" t="s">
        <v>17</v>
      </c>
      <c r="B448" s="48" t="s">
        <v>103</v>
      </c>
      <c r="C448" s="47">
        <v>221835</v>
      </c>
      <c r="D448" s="47" t="s">
        <v>389</v>
      </c>
      <c r="E448" s="47" t="s">
        <v>105</v>
      </c>
      <c r="F448" s="49" t="s">
        <v>614</v>
      </c>
      <c r="G448" s="47" t="s">
        <v>956</v>
      </c>
      <c r="H448" s="47" t="s">
        <v>134</v>
      </c>
      <c r="I448" s="47" t="s">
        <v>135</v>
      </c>
      <c r="J448" s="47" t="s">
        <v>25</v>
      </c>
      <c r="K448" s="51">
        <v>3000000</v>
      </c>
      <c r="L448" s="47" t="s">
        <v>26</v>
      </c>
      <c r="M448" s="52">
        <f t="shared" si="10"/>
        <v>3000000</v>
      </c>
      <c r="N448" s="53">
        <v>0.2</v>
      </c>
      <c r="O448" s="47" t="s">
        <v>955</v>
      </c>
      <c r="P448" s="47" t="s">
        <v>367</v>
      </c>
      <c r="Q448" s="47" t="s">
        <v>209</v>
      </c>
    </row>
    <row r="449" hidden="1" spans="1:17">
      <c r="A449" s="47" t="s">
        <v>17</v>
      </c>
      <c r="B449" s="48" t="s">
        <v>103</v>
      </c>
      <c r="C449" s="47">
        <v>221838</v>
      </c>
      <c r="D449" s="47" t="s">
        <v>389</v>
      </c>
      <c r="E449" s="47" t="s">
        <v>105</v>
      </c>
      <c r="F449" s="49" t="s">
        <v>957</v>
      </c>
      <c r="G449" s="47" t="s">
        <v>958</v>
      </c>
      <c r="H449" s="47" t="s">
        <v>134</v>
      </c>
      <c r="I449" s="47" t="s">
        <v>135</v>
      </c>
      <c r="J449" s="47" t="s">
        <v>25</v>
      </c>
      <c r="K449" s="51">
        <v>20000000</v>
      </c>
      <c r="L449" s="47" t="s">
        <v>26</v>
      </c>
      <c r="M449" s="52">
        <f t="shared" si="10"/>
        <v>20000000</v>
      </c>
      <c r="N449" s="53">
        <v>0.15</v>
      </c>
      <c r="O449" s="47" t="s">
        <v>955</v>
      </c>
      <c r="P449" s="47" t="s">
        <v>367</v>
      </c>
      <c r="Q449" s="47" t="s">
        <v>33</v>
      </c>
    </row>
    <row r="450" hidden="1" spans="1:17">
      <c r="A450" s="47" t="s">
        <v>17</v>
      </c>
      <c r="B450" s="48" t="s">
        <v>34</v>
      </c>
      <c r="C450" s="47">
        <v>223067</v>
      </c>
      <c r="D450" s="47" t="s">
        <v>252</v>
      </c>
      <c r="E450" s="47" t="s">
        <v>36</v>
      </c>
      <c r="F450" s="49" t="s">
        <v>616</v>
      </c>
      <c r="G450" s="47" t="s">
        <v>959</v>
      </c>
      <c r="H450" s="47" t="s">
        <v>134</v>
      </c>
      <c r="I450" s="47" t="s">
        <v>135</v>
      </c>
      <c r="J450" s="47" t="s">
        <v>45</v>
      </c>
      <c r="K450" s="51">
        <v>3499999.99993</v>
      </c>
      <c r="L450" s="47" t="s">
        <v>26</v>
      </c>
      <c r="M450" s="52">
        <f t="shared" si="10"/>
        <v>3499999.99993</v>
      </c>
      <c r="N450" s="53">
        <v>0.28571</v>
      </c>
      <c r="O450" s="47" t="s">
        <v>955</v>
      </c>
      <c r="P450" s="47" t="s">
        <v>307</v>
      </c>
      <c r="Q450" s="47" t="s">
        <v>209</v>
      </c>
    </row>
    <row r="451" hidden="1" spans="1:17">
      <c r="A451" s="47" t="s">
        <v>17</v>
      </c>
      <c r="B451" s="48" t="s">
        <v>103</v>
      </c>
      <c r="C451" s="47">
        <v>221322</v>
      </c>
      <c r="D451" s="47" t="s">
        <v>389</v>
      </c>
      <c r="E451" s="47" t="s">
        <v>105</v>
      </c>
      <c r="F451" s="49" t="s">
        <v>614</v>
      </c>
      <c r="G451" s="47" t="s">
        <v>960</v>
      </c>
      <c r="H451" s="47" t="s">
        <v>163</v>
      </c>
      <c r="I451" s="47" t="s">
        <v>135</v>
      </c>
      <c r="J451" s="47" t="s">
        <v>25</v>
      </c>
      <c r="K451" s="51">
        <v>2000000</v>
      </c>
      <c r="L451" s="47" t="s">
        <v>26</v>
      </c>
      <c r="M451" s="52">
        <f t="shared" si="10"/>
        <v>2000000</v>
      </c>
      <c r="N451" s="53">
        <v>0.2</v>
      </c>
      <c r="O451" s="47" t="s">
        <v>961</v>
      </c>
      <c r="P451" s="47" t="s">
        <v>155</v>
      </c>
      <c r="Q451" s="47" t="s">
        <v>33</v>
      </c>
    </row>
    <row r="452" hidden="1" spans="1:17">
      <c r="A452" s="47" t="s">
        <v>17</v>
      </c>
      <c r="B452" s="48" t="s">
        <v>103</v>
      </c>
      <c r="C452" s="47">
        <v>223211</v>
      </c>
      <c r="D452" s="47" t="s">
        <v>389</v>
      </c>
      <c r="E452" s="47" t="s">
        <v>105</v>
      </c>
      <c r="F452" s="49" t="s">
        <v>679</v>
      </c>
      <c r="G452" s="47" t="s">
        <v>962</v>
      </c>
      <c r="H452" s="47" t="s">
        <v>134</v>
      </c>
      <c r="I452" s="47" t="s">
        <v>135</v>
      </c>
      <c r="J452" s="47" t="s">
        <v>25</v>
      </c>
      <c r="K452" s="51">
        <v>5000000</v>
      </c>
      <c r="L452" s="47" t="s">
        <v>26</v>
      </c>
      <c r="M452" s="52">
        <f t="shared" si="10"/>
        <v>5000000</v>
      </c>
      <c r="N452" s="53">
        <v>0.2</v>
      </c>
      <c r="O452" s="47" t="s">
        <v>961</v>
      </c>
      <c r="P452" s="47" t="s">
        <v>401</v>
      </c>
      <c r="Q452" s="47" t="s">
        <v>209</v>
      </c>
    </row>
    <row r="453" hidden="1" spans="1:17">
      <c r="A453" s="47" t="s">
        <v>17</v>
      </c>
      <c r="B453" s="48" t="s">
        <v>103</v>
      </c>
      <c r="C453" s="47">
        <v>216412</v>
      </c>
      <c r="D453" s="47" t="s">
        <v>104</v>
      </c>
      <c r="E453" s="47" t="s">
        <v>105</v>
      </c>
      <c r="F453" s="49" t="s">
        <v>963</v>
      </c>
      <c r="G453" s="47" t="s">
        <v>964</v>
      </c>
      <c r="H453" s="47" t="s">
        <v>134</v>
      </c>
      <c r="I453" s="47" t="s">
        <v>135</v>
      </c>
      <c r="J453" s="47" t="s">
        <v>25</v>
      </c>
      <c r="K453" s="51">
        <v>10000000</v>
      </c>
      <c r="L453" s="47" t="s">
        <v>26</v>
      </c>
      <c r="M453" s="52">
        <f t="shared" si="10"/>
        <v>10000000</v>
      </c>
      <c r="N453" s="53">
        <v>0.15</v>
      </c>
      <c r="O453" s="47" t="s">
        <v>965</v>
      </c>
      <c r="P453" s="47" t="s">
        <v>223</v>
      </c>
      <c r="Q453" s="47" t="s">
        <v>33</v>
      </c>
    </row>
    <row r="454" hidden="1" spans="1:17">
      <c r="A454" s="47" t="s">
        <v>17</v>
      </c>
      <c r="B454" s="48" t="s">
        <v>34</v>
      </c>
      <c r="C454" s="47">
        <v>220485</v>
      </c>
      <c r="D454" s="47" t="s">
        <v>738</v>
      </c>
      <c r="E454" s="47" t="s">
        <v>621</v>
      </c>
      <c r="F454" s="49" t="s">
        <v>966</v>
      </c>
      <c r="G454" s="47" t="s">
        <v>967</v>
      </c>
      <c r="H454" s="47" t="s">
        <v>134</v>
      </c>
      <c r="I454" s="47" t="s">
        <v>135</v>
      </c>
      <c r="J454" s="47" t="s">
        <v>25</v>
      </c>
      <c r="K454" s="51">
        <v>80000000</v>
      </c>
      <c r="L454" s="47" t="s">
        <v>26</v>
      </c>
      <c r="M454" s="52">
        <f t="shared" si="10"/>
        <v>80000000</v>
      </c>
      <c r="N454" s="53">
        <v>0.1875</v>
      </c>
      <c r="O454" s="47" t="s">
        <v>968</v>
      </c>
      <c r="P454" s="47" t="s">
        <v>170</v>
      </c>
      <c r="Q454" s="47" t="s">
        <v>29</v>
      </c>
    </row>
    <row r="455" hidden="1" spans="1:17">
      <c r="A455" s="47" t="s">
        <v>17</v>
      </c>
      <c r="B455" s="48" t="s">
        <v>103</v>
      </c>
      <c r="C455" s="47">
        <v>220645</v>
      </c>
      <c r="D455" s="47" t="s">
        <v>389</v>
      </c>
      <c r="E455" s="47" t="s">
        <v>105</v>
      </c>
      <c r="F455" s="49" t="s">
        <v>969</v>
      </c>
      <c r="G455" s="47" t="s">
        <v>970</v>
      </c>
      <c r="H455" s="47" t="s">
        <v>163</v>
      </c>
      <c r="I455" s="47" t="s">
        <v>135</v>
      </c>
      <c r="J455" s="47" t="s">
        <v>25</v>
      </c>
      <c r="K455" s="51">
        <v>10000000</v>
      </c>
      <c r="L455" s="47" t="s">
        <v>26</v>
      </c>
      <c r="M455" s="52">
        <f t="shared" si="10"/>
        <v>10000000</v>
      </c>
      <c r="N455" s="53">
        <v>0.3</v>
      </c>
      <c r="O455" s="47" t="s">
        <v>968</v>
      </c>
      <c r="P455" s="47" t="s">
        <v>784</v>
      </c>
      <c r="Q455" s="47" t="s">
        <v>33</v>
      </c>
    </row>
    <row r="456" hidden="1" spans="1:17">
      <c r="A456" s="47" t="s">
        <v>17</v>
      </c>
      <c r="B456" s="48" t="s">
        <v>34</v>
      </c>
      <c r="C456" s="47">
        <v>220732</v>
      </c>
      <c r="D456" s="47" t="s">
        <v>35</v>
      </c>
      <c r="E456" s="47" t="s">
        <v>36</v>
      </c>
      <c r="F456" s="49" t="s">
        <v>216</v>
      </c>
      <c r="G456" s="47" t="s">
        <v>971</v>
      </c>
      <c r="H456" s="47" t="s">
        <v>125</v>
      </c>
      <c r="I456" s="47" t="s">
        <v>135</v>
      </c>
      <c r="J456" s="47" t="s">
        <v>25</v>
      </c>
      <c r="K456" s="51">
        <v>7500000</v>
      </c>
      <c r="L456" s="47" t="s">
        <v>26</v>
      </c>
      <c r="M456" s="52">
        <f t="shared" si="10"/>
        <v>7500000</v>
      </c>
      <c r="N456" s="53">
        <v>0.2</v>
      </c>
      <c r="O456" s="47" t="s">
        <v>968</v>
      </c>
      <c r="P456" s="47" t="s">
        <v>219</v>
      </c>
      <c r="Q456" s="47" t="s">
        <v>100</v>
      </c>
    </row>
    <row r="457" hidden="1" spans="1:17">
      <c r="A457" s="48" t="s">
        <v>17</v>
      </c>
      <c r="B457" s="48" t="s">
        <v>18</v>
      </c>
      <c r="C457" s="47">
        <v>211146</v>
      </c>
      <c r="D457" s="47" t="s">
        <v>19</v>
      </c>
      <c r="E457" s="47" t="s">
        <v>20</v>
      </c>
      <c r="F457" s="49" t="s">
        <v>156</v>
      </c>
      <c r="G457" s="47" t="s">
        <v>972</v>
      </c>
      <c r="H457" s="47" t="s">
        <v>134</v>
      </c>
      <c r="I457" s="47" t="s">
        <v>135</v>
      </c>
      <c r="J457" s="47" t="s">
        <v>25</v>
      </c>
      <c r="K457" s="51">
        <v>200000000</v>
      </c>
      <c r="L457" s="47" t="s">
        <v>26</v>
      </c>
      <c r="M457" s="52">
        <f t="shared" si="10"/>
        <v>200000000</v>
      </c>
      <c r="N457" s="53">
        <v>0.1</v>
      </c>
      <c r="O457" s="47" t="s">
        <v>973</v>
      </c>
      <c r="P457" s="47" t="s">
        <v>974</v>
      </c>
      <c r="Q457" s="47" t="s">
        <v>33</v>
      </c>
    </row>
    <row r="458" hidden="1" spans="1:17">
      <c r="A458" s="47" t="s">
        <v>17</v>
      </c>
      <c r="B458" s="48" t="s">
        <v>40</v>
      </c>
      <c r="C458" s="47">
        <v>216371</v>
      </c>
      <c r="D458" s="47" t="s">
        <v>122</v>
      </c>
      <c r="E458" s="47" t="s">
        <v>42</v>
      </c>
      <c r="F458" s="49" t="s">
        <v>975</v>
      </c>
      <c r="G458" s="47" t="s">
        <v>976</v>
      </c>
      <c r="H458" s="47" t="s">
        <v>125</v>
      </c>
      <c r="I458" s="47" t="s">
        <v>135</v>
      </c>
      <c r="J458" s="47" t="s">
        <v>45</v>
      </c>
      <c r="K458" s="51">
        <v>5000000</v>
      </c>
      <c r="L458" s="47" t="s">
        <v>26</v>
      </c>
      <c r="M458" s="52">
        <f t="shared" si="10"/>
        <v>5000000</v>
      </c>
      <c r="N458" s="53">
        <v>0.16</v>
      </c>
      <c r="O458" s="47" t="s">
        <v>973</v>
      </c>
      <c r="P458" s="47" t="s">
        <v>127</v>
      </c>
      <c r="Q458" s="47" t="s">
        <v>29</v>
      </c>
    </row>
    <row r="459" hidden="1" spans="1:17">
      <c r="A459" s="47" t="s">
        <v>17</v>
      </c>
      <c r="B459" s="48" t="s">
        <v>103</v>
      </c>
      <c r="C459" s="47">
        <v>216400</v>
      </c>
      <c r="D459" s="47" t="s">
        <v>116</v>
      </c>
      <c r="E459" s="47" t="s">
        <v>117</v>
      </c>
      <c r="F459" s="49" t="s">
        <v>670</v>
      </c>
      <c r="G459" s="47" t="s">
        <v>977</v>
      </c>
      <c r="H459" s="47" t="s">
        <v>149</v>
      </c>
      <c r="I459" s="47" t="s">
        <v>126</v>
      </c>
      <c r="J459" s="47" t="s">
        <v>25</v>
      </c>
      <c r="K459" s="51">
        <v>25000000</v>
      </c>
      <c r="L459" s="47" t="s">
        <v>26</v>
      </c>
      <c r="M459" s="52">
        <f t="shared" si="10"/>
        <v>25000000</v>
      </c>
      <c r="N459" s="53">
        <v>0.12</v>
      </c>
      <c r="O459" s="47" t="s">
        <v>973</v>
      </c>
      <c r="P459" s="47" t="s">
        <v>223</v>
      </c>
      <c r="Q459" s="47" t="s">
        <v>29</v>
      </c>
    </row>
    <row r="460" hidden="1" spans="1:17">
      <c r="A460" s="47" t="s">
        <v>17</v>
      </c>
      <c r="B460" s="48" t="s">
        <v>34</v>
      </c>
      <c r="C460" s="47">
        <v>219911</v>
      </c>
      <c r="D460" s="47" t="s">
        <v>252</v>
      </c>
      <c r="E460" s="47" t="s">
        <v>36</v>
      </c>
      <c r="F460" s="49" t="s">
        <v>978</v>
      </c>
      <c r="G460" s="47" t="s">
        <v>979</v>
      </c>
      <c r="H460" s="47" t="s">
        <v>134</v>
      </c>
      <c r="I460" s="47" t="s">
        <v>135</v>
      </c>
      <c r="J460" s="47" t="s">
        <v>25</v>
      </c>
      <c r="K460" s="51">
        <v>4500000.00012162</v>
      </c>
      <c r="L460" s="47" t="s">
        <v>26</v>
      </c>
      <c r="M460" s="52">
        <f t="shared" si="10"/>
        <v>4500000.00012162</v>
      </c>
      <c r="N460" s="53">
        <v>0.17778</v>
      </c>
      <c r="O460" s="47" t="s">
        <v>973</v>
      </c>
      <c r="P460" s="47" t="s">
        <v>683</v>
      </c>
      <c r="Q460" s="47" t="s">
        <v>209</v>
      </c>
    </row>
    <row r="461" hidden="1" spans="1:17">
      <c r="A461" s="47" t="s">
        <v>17</v>
      </c>
      <c r="B461" s="48" t="s">
        <v>103</v>
      </c>
      <c r="C461" s="47">
        <v>222446</v>
      </c>
      <c r="D461" s="47" t="s">
        <v>435</v>
      </c>
      <c r="E461" s="47" t="s">
        <v>105</v>
      </c>
      <c r="F461" s="49" t="s">
        <v>980</v>
      </c>
      <c r="G461" s="47" t="s">
        <v>981</v>
      </c>
      <c r="H461" s="47" t="s">
        <v>134</v>
      </c>
      <c r="I461" s="47" t="s">
        <v>135</v>
      </c>
      <c r="J461" s="47" t="s">
        <v>25</v>
      </c>
      <c r="K461" s="51">
        <v>8333333.33</v>
      </c>
      <c r="L461" s="47" t="s">
        <v>26</v>
      </c>
      <c r="M461" s="52">
        <f t="shared" si="10"/>
        <v>8333333.33</v>
      </c>
      <c r="N461" s="53">
        <v>0.1</v>
      </c>
      <c r="O461" s="47" t="s">
        <v>973</v>
      </c>
      <c r="P461" s="47" t="s">
        <v>793</v>
      </c>
      <c r="Q461" s="47" t="s">
        <v>33</v>
      </c>
    </row>
    <row r="462" hidden="1" spans="1:17">
      <c r="A462" s="47" t="s">
        <v>17</v>
      </c>
      <c r="B462" s="48" t="s">
        <v>103</v>
      </c>
      <c r="C462" s="47">
        <v>221858</v>
      </c>
      <c r="D462" s="47" t="s">
        <v>435</v>
      </c>
      <c r="E462" s="47" t="s">
        <v>105</v>
      </c>
      <c r="F462" s="49" t="s">
        <v>497</v>
      </c>
      <c r="G462" s="47" t="s">
        <v>534</v>
      </c>
      <c r="H462" s="47" t="s">
        <v>134</v>
      </c>
      <c r="I462" s="47" t="s">
        <v>135</v>
      </c>
      <c r="J462" s="47" t="s">
        <v>25</v>
      </c>
      <c r="K462" s="51">
        <v>17113417.2</v>
      </c>
      <c r="L462" s="47" t="s">
        <v>26</v>
      </c>
      <c r="M462" s="52">
        <f t="shared" si="10"/>
        <v>17113417.2</v>
      </c>
      <c r="N462" s="53">
        <v>0.1</v>
      </c>
      <c r="O462" s="47" t="s">
        <v>982</v>
      </c>
      <c r="P462" s="47" t="s">
        <v>367</v>
      </c>
      <c r="Q462" s="47" t="s">
        <v>33</v>
      </c>
    </row>
    <row r="463" hidden="1" spans="1:17">
      <c r="A463" s="47" t="s">
        <v>17</v>
      </c>
      <c r="B463" s="48" t="s">
        <v>103</v>
      </c>
      <c r="C463" s="47">
        <v>223500</v>
      </c>
      <c r="D463" s="47" t="s">
        <v>301</v>
      </c>
      <c r="E463" s="47" t="s">
        <v>129</v>
      </c>
      <c r="F463" s="49" t="s">
        <v>535</v>
      </c>
      <c r="G463" s="47" t="s">
        <v>983</v>
      </c>
      <c r="H463" s="47" t="s">
        <v>134</v>
      </c>
      <c r="I463" s="47" t="s">
        <v>135</v>
      </c>
      <c r="J463" s="47" t="s">
        <v>25</v>
      </c>
      <c r="K463" s="51">
        <v>20000000</v>
      </c>
      <c r="L463" s="47" t="s">
        <v>26</v>
      </c>
      <c r="M463" s="52">
        <f t="shared" si="10"/>
        <v>20000000</v>
      </c>
      <c r="N463" s="53">
        <v>0.125</v>
      </c>
      <c r="O463" s="47" t="s">
        <v>982</v>
      </c>
      <c r="P463" s="47" t="s">
        <v>193</v>
      </c>
      <c r="Q463" s="47" t="s">
        <v>29</v>
      </c>
    </row>
    <row r="464" hidden="1" spans="1:17">
      <c r="A464" s="47" t="s">
        <v>17</v>
      </c>
      <c r="B464" s="48" t="s">
        <v>40</v>
      </c>
      <c r="C464" s="47">
        <v>223718</v>
      </c>
      <c r="D464" s="47" t="s">
        <v>41</v>
      </c>
      <c r="E464" s="47" t="s">
        <v>42</v>
      </c>
      <c r="F464" s="49" t="s">
        <v>984</v>
      </c>
      <c r="G464" s="47" t="s">
        <v>985</v>
      </c>
      <c r="H464" s="47" t="s">
        <v>134</v>
      </c>
      <c r="I464" s="47" t="s">
        <v>135</v>
      </c>
      <c r="J464" s="47" t="s">
        <v>45</v>
      </c>
      <c r="K464" s="51">
        <v>10000000</v>
      </c>
      <c r="L464" s="47" t="s">
        <v>26</v>
      </c>
      <c r="M464" s="52">
        <f t="shared" si="10"/>
        <v>10000000</v>
      </c>
      <c r="N464" s="53">
        <v>0.2</v>
      </c>
      <c r="O464" s="47" t="s">
        <v>982</v>
      </c>
      <c r="P464" s="47" t="s">
        <v>76</v>
      </c>
      <c r="Q464" s="47" t="s">
        <v>29</v>
      </c>
    </row>
    <row r="465" hidden="1" spans="1:17">
      <c r="A465" s="47" t="s">
        <v>17</v>
      </c>
      <c r="B465" s="48" t="s">
        <v>40</v>
      </c>
      <c r="C465" s="47">
        <v>220421</v>
      </c>
      <c r="D465" s="47" t="s">
        <v>210</v>
      </c>
      <c r="E465" s="47" t="s">
        <v>42</v>
      </c>
      <c r="F465" s="49" t="s">
        <v>211</v>
      </c>
      <c r="G465" s="47" t="s">
        <v>986</v>
      </c>
      <c r="H465" s="47" t="s">
        <v>163</v>
      </c>
      <c r="I465" s="47" t="s">
        <v>135</v>
      </c>
      <c r="J465" s="47" t="s">
        <v>45</v>
      </c>
      <c r="K465" s="51">
        <v>2500000</v>
      </c>
      <c r="L465" s="47" t="s">
        <v>26</v>
      </c>
      <c r="M465" s="52">
        <f t="shared" si="10"/>
        <v>2500000</v>
      </c>
      <c r="N465" s="53">
        <v>0.2</v>
      </c>
      <c r="O465" s="47" t="s">
        <v>987</v>
      </c>
      <c r="P465" s="47" t="s">
        <v>170</v>
      </c>
      <c r="Q465" s="47" t="s">
        <v>100</v>
      </c>
    </row>
    <row r="466" hidden="1" spans="1:17">
      <c r="A466" s="47" t="s">
        <v>17</v>
      </c>
      <c r="B466" s="48" t="s">
        <v>40</v>
      </c>
      <c r="C466" s="47">
        <v>220914</v>
      </c>
      <c r="D466" s="47" t="s">
        <v>210</v>
      </c>
      <c r="E466" s="47" t="s">
        <v>42</v>
      </c>
      <c r="F466" s="49" t="s">
        <v>988</v>
      </c>
      <c r="G466" s="47" t="s">
        <v>989</v>
      </c>
      <c r="H466" s="47" t="s">
        <v>134</v>
      </c>
      <c r="I466" s="47" t="s">
        <v>135</v>
      </c>
      <c r="J466" s="47" t="s">
        <v>25</v>
      </c>
      <c r="K466" s="51">
        <v>50000000</v>
      </c>
      <c r="L466" s="47" t="s">
        <v>26</v>
      </c>
      <c r="M466" s="52">
        <f t="shared" si="10"/>
        <v>50000000</v>
      </c>
      <c r="N466" s="53">
        <v>0.2</v>
      </c>
      <c r="O466" s="47" t="s">
        <v>987</v>
      </c>
      <c r="P466" s="47" t="s">
        <v>292</v>
      </c>
      <c r="Q466" s="47" t="s">
        <v>29</v>
      </c>
    </row>
    <row r="467" hidden="1" spans="1:17">
      <c r="A467" s="47" t="s">
        <v>17</v>
      </c>
      <c r="B467" s="48" t="s">
        <v>34</v>
      </c>
      <c r="C467" s="47">
        <v>222302</v>
      </c>
      <c r="D467" s="47" t="s">
        <v>738</v>
      </c>
      <c r="E467" s="47" t="s">
        <v>621</v>
      </c>
      <c r="F467" s="49" t="s">
        <v>471</v>
      </c>
      <c r="G467" s="47" t="s">
        <v>990</v>
      </c>
      <c r="H467" s="47" t="s">
        <v>134</v>
      </c>
      <c r="I467" s="47" t="s">
        <v>135</v>
      </c>
      <c r="J467" s="47" t="s">
        <v>741</v>
      </c>
      <c r="K467" s="51">
        <v>80000000</v>
      </c>
      <c r="L467" s="47" t="s">
        <v>26</v>
      </c>
      <c r="M467" s="52">
        <f t="shared" si="10"/>
        <v>80000000</v>
      </c>
      <c r="N467" s="53">
        <v>0.1875</v>
      </c>
      <c r="O467" s="47" t="s">
        <v>987</v>
      </c>
      <c r="P467" s="47" t="s">
        <v>175</v>
      </c>
      <c r="Q467" s="47" t="s">
        <v>259</v>
      </c>
    </row>
    <row r="468" hidden="1" spans="1:17">
      <c r="A468" s="47" t="s">
        <v>17</v>
      </c>
      <c r="B468" s="48" t="s">
        <v>34</v>
      </c>
      <c r="C468" s="47">
        <v>220522</v>
      </c>
      <c r="D468" s="47" t="s">
        <v>738</v>
      </c>
      <c r="E468" s="47" t="s">
        <v>621</v>
      </c>
      <c r="F468" s="49" t="s">
        <v>991</v>
      </c>
      <c r="G468" s="47" t="s">
        <v>992</v>
      </c>
      <c r="H468" s="47" t="s">
        <v>134</v>
      </c>
      <c r="I468" s="47" t="s">
        <v>135</v>
      </c>
      <c r="J468" s="47" t="s">
        <v>25</v>
      </c>
      <c r="K468" s="51">
        <v>60000000</v>
      </c>
      <c r="L468" s="47" t="s">
        <v>26</v>
      </c>
      <c r="M468" s="52">
        <f t="shared" si="10"/>
        <v>60000000</v>
      </c>
      <c r="N468" s="53">
        <v>0.25</v>
      </c>
      <c r="O468" s="47" t="s">
        <v>993</v>
      </c>
      <c r="P468" s="47" t="s">
        <v>226</v>
      </c>
      <c r="Q468" s="47" t="s">
        <v>209</v>
      </c>
    </row>
    <row r="469" hidden="1" spans="1:17">
      <c r="A469" s="47" t="s">
        <v>17</v>
      </c>
      <c r="B469" s="48" t="s">
        <v>18</v>
      </c>
      <c r="C469" s="47">
        <v>220694</v>
      </c>
      <c r="D469" s="47" t="s">
        <v>146</v>
      </c>
      <c r="E469" s="47" t="s">
        <v>20</v>
      </c>
      <c r="F469" s="49" t="s">
        <v>164</v>
      </c>
      <c r="G469" s="47" t="s">
        <v>994</v>
      </c>
      <c r="H469" s="47" t="s">
        <v>134</v>
      </c>
      <c r="I469" s="47" t="s">
        <v>135</v>
      </c>
      <c r="J469" s="47" t="s">
        <v>25</v>
      </c>
      <c r="K469" s="51">
        <v>20000000</v>
      </c>
      <c r="L469" s="47" t="s">
        <v>26</v>
      </c>
      <c r="M469" s="52">
        <f t="shared" si="10"/>
        <v>20000000</v>
      </c>
      <c r="N469" s="54"/>
      <c r="O469" s="47" t="s">
        <v>993</v>
      </c>
      <c r="P469" s="47" t="s">
        <v>240</v>
      </c>
      <c r="Q469" s="47" t="s">
        <v>29</v>
      </c>
    </row>
    <row r="470" hidden="1" spans="1:17">
      <c r="A470" s="47" t="s">
        <v>17</v>
      </c>
      <c r="B470" s="48" t="s">
        <v>103</v>
      </c>
      <c r="C470" s="47">
        <v>220427</v>
      </c>
      <c r="D470" s="47" t="s">
        <v>116</v>
      </c>
      <c r="E470" s="47" t="s">
        <v>117</v>
      </c>
      <c r="F470" s="49" t="s">
        <v>546</v>
      </c>
      <c r="G470" s="47" t="s">
        <v>995</v>
      </c>
      <c r="H470" s="47" t="s">
        <v>134</v>
      </c>
      <c r="I470" s="47" t="s">
        <v>135</v>
      </c>
      <c r="J470" s="47" t="s">
        <v>25</v>
      </c>
      <c r="K470" s="51">
        <v>129999999.992909</v>
      </c>
      <c r="L470" s="47" t="s">
        <v>26</v>
      </c>
      <c r="M470" s="52">
        <f t="shared" si="10"/>
        <v>129999999.992909</v>
      </c>
      <c r="N470" s="53">
        <v>0.15385</v>
      </c>
      <c r="O470" s="47" t="s">
        <v>996</v>
      </c>
      <c r="P470" s="47" t="s">
        <v>170</v>
      </c>
      <c r="Q470" s="47" t="s">
        <v>100</v>
      </c>
    </row>
    <row r="471" hidden="1" spans="1:17">
      <c r="A471" s="47" t="s">
        <v>17</v>
      </c>
      <c r="B471" s="48" t="s">
        <v>103</v>
      </c>
      <c r="C471" s="47">
        <v>221476</v>
      </c>
      <c r="D471" s="47" t="s">
        <v>435</v>
      </c>
      <c r="E471" s="47" t="s">
        <v>105</v>
      </c>
      <c r="F471" s="49" t="s">
        <v>666</v>
      </c>
      <c r="G471" s="47" t="s">
        <v>997</v>
      </c>
      <c r="H471" s="47" t="s">
        <v>134</v>
      </c>
      <c r="I471" s="47" t="s">
        <v>135</v>
      </c>
      <c r="J471" s="47" t="s">
        <v>25</v>
      </c>
      <c r="K471" s="51">
        <v>1666666.67</v>
      </c>
      <c r="L471" s="47" t="s">
        <v>26</v>
      </c>
      <c r="M471" s="52">
        <f t="shared" si="10"/>
        <v>1666666.67</v>
      </c>
      <c r="N471" s="53">
        <v>0.1</v>
      </c>
      <c r="O471" s="47" t="s">
        <v>996</v>
      </c>
      <c r="P471" s="47" t="s">
        <v>388</v>
      </c>
      <c r="Q471" s="47" t="s">
        <v>33</v>
      </c>
    </row>
    <row r="472" hidden="1" spans="1:17">
      <c r="A472" s="47" t="s">
        <v>17</v>
      </c>
      <c r="B472" s="48" t="s">
        <v>103</v>
      </c>
      <c r="C472" s="47">
        <v>222059</v>
      </c>
      <c r="D472" s="47" t="s">
        <v>435</v>
      </c>
      <c r="E472" s="47" t="s">
        <v>105</v>
      </c>
      <c r="F472" s="49" t="s">
        <v>497</v>
      </c>
      <c r="G472" s="47" t="s">
        <v>998</v>
      </c>
      <c r="H472" s="47" t="s">
        <v>125</v>
      </c>
      <c r="I472" s="47" t="s">
        <v>135</v>
      </c>
      <c r="J472" s="47" t="s">
        <v>25</v>
      </c>
      <c r="K472" s="51">
        <v>1500000</v>
      </c>
      <c r="L472" s="47" t="s">
        <v>26</v>
      </c>
      <c r="M472" s="52">
        <f t="shared" si="10"/>
        <v>1500000</v>
      </c>
      <c r="N472" s="53">
        <v>0.1</v>
      </c>
      <c r="O472" s="47" t="s">
        <v>996</v>
      </c>
      <c r="P472" s="47" t="s">
        <v>724</v>
      </c>
      <c r="Q472" s="47" t="s">
        <v>33</v>
      </c>
    </row>
    <row r="473" hidden="1" spans="1:17">
      <c r="A473" s="47" t="s">
        <v>17</v>
      </c>
      <c r="B473" s="48" t="s">
        <v>103</v>
      </c>
      <c r="C473" s="47">
        <v>222885</v>
      </c>
      <c r="D473" s="47" t="s">
        <v>116</v>
      </c>
      <c r="E473" s="47" t="s">
        <v>117</v>
      </c>
      <c r="F473" s="49" t="s">
        <v>546</v>
      </c>
      <c r="G473" s="47" t="s">
        <v>999</v>
      </c>
      <c r="H473" s="47" t="s">
        <v>125</v>
      </c>
      <c r="I473" s="47" t="s">
        <v>135</v>
      </c>
      <c r="J473" s="47" t="s">
        <v>25</v>
      </c>
      <c r="K473" s="51">
        <v>150000000</v>
      </c>
      <c r="L473" s="47" t="s">
        <v>26</v>
      </c>
      <c r="M473" s="52">
        <f t="shared" si="10"/>
        <v>150000000</v>
      </c>
      <c r="N473" s="53">
        <v>0.1</v>
      </c>
      <c r="O473" s="47" t="s">
        <v>996</v>
      </c>
      <c r="P473" s="47" t="s">
        <v>304</v>
      </c>
      <c r="Q473" s="47" t="s">
        <v>33</v>
      </c>
    </row>
    <row r="474" hidden="1" spans="1:17">
      <c r="A474" s="47" t="s">
        <v>17</v>
      </c>
      <c r="B474" s="48" t="s">
        <v>103</v>
      </c>
      <c r="C474" s="47">
        <v>223623</v>
      </c>
      <c r="D474" s="47" t="s">
        <v>435</v>
      </c>
      <c r="E474" s="47" t="s">
        <v>105</v>
      </c>
      <c r="F474" s="49" t="s">
        <v>499</v>
      </c>
      <c r="G474" s="47" t="s">
        <v>1000</v>
      </c>
      <c r="H474" s="47" t="s">
        <v>125</v>
      </c>
      <c r="I474" s="47" t="s">
        <v>135</v>
      </c>
      <c r="J474" s="47" t="s">
        <v>25</v>
      </c>
      <c r="K474" s="51">
        <v>10002352.94</v>
      </c>
      <c r="L474" s="47" t="s">
        <v>26</v>
      </c>
      <c r="M474" s="52">
        <f t="shared" si="10"/>
        <v>10002352.94</v>
      </c>
      <c r="N474" s="53">
        <v>0.15</v>
      </c>
      <c r="O474" s="47" t="s">
        <v>996</v>
      </c>
      <c r="P474" s="47" t="s">
        <v>63</v>
      </c>
      <c r="Q474" s="47" t="s">
        <v>259</v>
      </c>
    </row>
    <row r="475" hidden="1" spans="1:17">
      <c r="A475" s="47" t="s">
        <v>17</v>
      </c>
      <c r="B475" s="48" t="s">
        <v>40</v>
      </c>
      <c r="C475" s="47">
        <v>220767</v>
      </c>
      <c r="D475" s="47" t="s">
        <v>41</v>
      </c>
      <c r="E475" s="47" t="s">
        <v>42</v>
      </c>
      <c r="F475" s="49" t="s">
        <v>563</v>
      </c>
      <c r="G475" s="47" t="s">
        <v>1001</v>
      </c>
      <c r="H475" s="47" t="s">
        <v>134</v>
      </c>
      <c r="I475" s="47" t="s">
        <v>135</v>
      </c>
      <c r="J475" s="47" t="s">
        <v>45</v>
      </c>
      <c r="K475" s="51">
        <v>150000000</v>
      </c>
      <c r="L475" s="47" t="s">
        <v>26</v>
      </c>
      <c r="M475" s="52">
        <f t="shared" si="10"/>
        <v>150000000</v>
      </c>
      <c r="N475" s="53">
        <v>0</v>
      </c>
      <c r="O475" s="47" t="s">
        <v>1002</v>
      </c>
      <c r="P475" s="47" t="s">
        <v>219</v>
      </c>
      <c r="Q475" s="47" t="s">
        <v>33</v>
      </c>
    </row>
    <row r="476" hidden="1" spans="1:17">
      <c r="A476" s="47" t="s">
        <v>17</v>
      </c>
      <c r="B476" s="48" t="s">
        <v>18</v>
      </c>
      <c r="C476" s="47">
        <v>220071</v>
      </c>
      <c r="D476" s="47" t="s">
        <v>747</v>
      </c>
      <c r="E476" s="47" t="s">
        <v>172</v>
      </c>
      <c r="F476" s="49" t="s">
        <v>1003</v>
      </c>
      <c r="G476" s="47" t="s">
        <v>1004</v>
      </c>
      <c r="H476" s="47" t="s">
        <v>163</v>
      </c>
      <c r="I476" s="47" t="s">
        <v>135</v>
      </c>
      <c r="J476" s="47" t="s">
        <v>45</v>
      </c>
      <c r="K476" s="51">
        <v>1764705.88</v>
      </c>
      <c r="L476" s="47" t="s">
        <v>26</v>
      </c>
      <c r="M476" s="52">
        <f t="shared" si="10"/>
        <v>1764705.88</v>
      </c>
      <c r="N476" s="53">
        <v>0.15</v>
      </c>
      <c r="O476" s="47" t="s">
        <v>1005</v>
      </c>
      <c r="P476" s="47" t="s">
        <v>706</v>
      </c>
      <c r="Q476" s="47" t="s">
        <v>33</v>
      </c>
    </row>
    <row r="477" hidden="1" spans="1:17">
      <c r="A477" s="47" t="s">
        <v>17</v>
      </c>
      <c r="B477" s="48" t="s">
        <v>34</v>
      </c>
      <c r="C477" s="47">
        <v>220449</v>
      </c>
      <c r="D477" s="47" t="s">
        <v>738</v>
      </c>
      <c r="E477" s="47" t="s">
        <v>621</v>
      </c>
      <c r="F477" s="49" t="s">
        <v>750</v>
      </c>
      <c r="G477" s="47" t="s">
        <v>1006</v>
      </c>
      <c r="H477" s="47" t="s">
        <v>134</v>
      </c>
      <c r="I477" s="47" t="s">
        <v>135</v>
      </c>
      <c r="J477" s="47" t="s">
        <v>741</v>
      </c>
      <c r="K477" s="51">
        <v>7499999.999625</v>
      </c>
      <c r="L477" s="47" t="s">
        <v>26</v>
      </c>
      <c r="M477" s="52">
        <f t="shared" si="10"/>
        <v>7499999.999625</v>
      </c>
      <c r="N477" s="53">
        <v>0.33333</v>
      </c>
      <c r="O477" s="47" t="s">
        <v>1005</v>
      </c>
      <c r="P477" s="47" t="s">
        <v>170</v>
      </c>
      <c r="Q477" s="47" t="s">
        <v>100</v>
      </c>
    </row>
    <row r="478" hidden="1" spans="1:17">
      <c r="A478" s="47" t="s">
        <v>17</v>
      </c>
      <c r="B478" s="48" t="s">
        <v>103</v>
      </c>
      <c r="C478" s="47">
        <v>223836</v>
      </c>
      <c r="D478" s="47" t="s">
        <v>140</v>
      </c>
      <c r="E478" s="47" t="s">
        <v>117</v>
      </c>
      <c r="F478" s="49" t="s">
        <v>141</v>
      </c>
      <c r="G478" s="47" t="s">
        <v>1007</v>
      </c>
      <c r="H478" s="47" t="s">
        <v>134</v>
      </c>
      <c r="I478" s="47" t="s">
        <v>135</v>
      </c>
      <c r="J478" s="47" t="s">
        <v>25</v>
      </c>
      <c r="K478" s="51">
        <v>62500000</v>
      </c>
      <c r="L478" s="47" t="s">
        <v>26</v>
      </c>
      <c r="M478" s="52">
        <f t="shared" si="10"/>
        <v>62500000</v>
      </c>
      <c r="N478" s="53">
        <v>0.18</v>
      </c>
      <c r="O478" s="47" t="s">
        <v>1005</v>
      </c>
      <c r="P478" s="47" t="s">
        <v>87</v>
      </c>
      <c r="Q478" s="47" t="s">
        <v>259</v>
      </c>
    </row>
    <row r="479" hidden="1" spans="1:17">
      <c r="A479" s="48" t="s">
        <v>17</v>
      </c>
      <c r="B479" s="47" t="s">
        <v>241</v>
      </c>
      <c r="C479" s="47">
        <v>209926</v>
      </c>
      <c r="D479" s="47" t="s">
        <v>160</v>
      </c>
      <c r="E479" s="47" t="s">
        <v>117</v>
      </c>
      <c r="F479" s="49" t="s">
        <v>161</v>
      </c>
      <c r="G479" s="47" t="s">
        <v>1008</v>
      </c>
      <c r="H479" s="47" t="s">
        <v>125</v>
      </c>
      <c r="I479" s="47" t="s">
        <v>135</v>
      </c>
      <c r="J479" s="47" t="s">
        <v>25</v>
      </c>
      <c r="K479" s="51">
        <v>15294117.64</v>
      </c>
      <c r="L479" s="47" t="s">
        <v>26</v>
      </c>
      <c r="M479" s="52">
        <f t="shared" si="10"/>
        <v>15294117.64</v>
      </c>
      <c r="N479" s="53">
        <v>0.15</v>
      </c>
      <c r="O479" s="47" t="s">
        <v>1009</v>
      </c>
      <c r="P479" s="47" t="s">
        <v>1010</v>
      </c>
      <c r="Q479" s="47" t="s">
        <v>100</v>
      </c>
    </row>
    <row r="480" hidden="1" spans="1:17">
      <c r="A480" s="47" t="s">
        <v>17</v>
      </c>
      <c r="B480" s="48" t="s">
        <v>103</v>
      </c>
      <c r="C480" s="47">
        <v>219037</v>
      </c>
      <c r="D480" s="47" t="s">
        <v>117</v>
      </c>
      <c r="E480" s="47" t="s">
        <v>129</v>
      </c>
      <c r="F480" s="49" t="s">
        <v>1011</v>
      </c>
      <c r="G480" s="47" t="s">
        <v>1012</v>
      </c>
      <c r="H480" s="47" t="s">
        <v>125</v>
      </c>
      <c r="I480" s="47" t="s">
        <v>135</v>
      </c>
      <c r="J480" s="47" t="s">
        <v>143</v>
      </c>
      <c r="K480" s="51">
        <v>12240000</v>
      </c>
      <c r="L480" s="47" t="s">
        <v>26</v>
      </c>
      <c r="M480" s="52">
        <f t="shared" si="10"/>
        <v>12240000</v>
      </c>
      <c r="N480" s="53">
        <v>0.11765</v>
      </c>
      <c r="O480" s="47" t="s">
        <v>1009</v>
      </c>
      <c r="P480" s="47" t="s">
        <v>1013</v>
      </c>
      <c r="Q480" s="47" t="s">
        <v>29</v>
      </c>
    </row>
    <row r="481" hidden="1" spans="1:17">
      <c r="A481" s="47" t="s">
        <v>17</v>
      </c>
      <c r="B481" s="48" t="s">
        <v>34</v>
      </c>
      <c r="C481" s="47">
        <v>222300</v>
      </c>
      <c r="D481" s="47" t="s">
        <v>621</v>
      </c>
      <c r="E481" s="47" t="s">
        <v>49</v>
      </c>
      <c r="F481" s="49" t="s">
        <v>750</v>
      </c>
      <c r="G481" s="47" t="s">
        <v>1014</v>
      </c>
      <c r="H481" s="47" t="s">
        <v>163</v>
      </c>
      <c r="I481" s="47" t="s">
        <v>135</v>
      </c>
      <c r="J481" s="47" t="s">
        <v>741</v>
      </c>
      <c r="K481" s="51">
        <v>100000000</v>
      </c>
      <c r="L481" s="47" t="s">
        <v>26</v>
      </c>
      <c r="M481" s="52">
        <f t="shared" si="10"/>
        <v>100000000</v>
      </c>
      <c r="N481" s="53">
        <v>0.15</v>
      </c>
      <c r="O481" s="47" t="s">
        <v>1009</v>
      </c>
      <c r="P481" s="47" t="s">
        <v>175</v>
      </c>
      <c r="Q481" s="47" t="s">
        <v>209</v>
      </c>
    </row>
    <row r="482" hidden="1" spans="1:17">
      <c r="A482" s="47" t="s">
        <v>17</v>
      </c>
      <c r="B482" s="48" t="s">
        <v>103</v>
      </c>
      <c r="C482" s="47">
        <v>223910</v>
      </c>
      <c r="D482" s="47" t="s">
        <v>326</v>
      </c>
      <c r="E482" s="47" t="s">
        <v>117</v>
      </c>
      <c r="F482" s="49" t="s">
        <v>1015</v>
      </c>
      <c r="G482" s="47" t="s">
        <v>1016</v>
      </c>
      <c r="H482" s="47" t="s">
        <v>134</v>
      </c>
      <c r="I482" s="47" t="s">
        <v>135</v>
      </c>
      <c r="J482" s="47" t="s">
        <v>25</v>
      </c>
      <c r="K482" s="51">
        <v>15882352.95</v>
      </c>
      <c r="L482" s="47" t="s">
        <v>26</v>
      </c>
      <c r="M482" s="52">
        <f t="shared" si="10"/>
        <v>15882352.95</v>
      </c>
      <c r="N482" s="53">
        <v>0.15</v>
      </c>
      <c r="O482" s="47" t="s">
        <v>1009</v>
      </c>
      <c r="P482" s="47" t="s">
        <v>99</v>
      </c>
      <c r="Q482" s="47" t="s">
        <v>33</v>
      </c>
    </row>
    <row r="483" hidden="1" spans="1:17">
      <c r="A483" s="48" t="s">
        <v>17</v>
      </c>
      <c r="B483" s="48" t="s">
        <v>18</v>
      </c>
      <c r="C483" s="47">
        <v>219804</v>
      </c>
      <c r="D483" s="47" t="s">
        <v>1017</v>
      </c>
      <c r="E483" s="47" t="s">
        <v>172</v>
      </c>
      <c r="F483" s="49" t="s">
        <v>197</v>
      </c>
      <c r="G483" s="47" t="s">
        <v>1018</v>
      </c>
      <c r="H483" s="47" t="s">
        <v>134</v>
      </c>
      <c r="I483" s="47" t="s">
        <v>135</v>
      </c>
      <c r="J483" s="47" t="s">
        <v>25</v>
      </c>
      <c r="K483" s="55">
        <v>14285.71</v>
      </c>
      <c r="L483" s="47" t="s">
        <v>361</v>
      </c>
      <c r="M483" s="48">
        <f>K483*89</f>
        <v>1271428.19</v>
      </c>
      <c r="N483" s="53">
        <v>0.3</v>
      </c>
      <c r="O483" s="47" t="s">
        <v>1019</v>
      </c>
      <c r="P483" s="47" t="s">
        <v>1020</v>
      </c>
      <c r="Q483" s="47" t="s">
        <v>100</v>
      </c>
    </row>
    <row r="484" hidden="1" spans="1:17">
      <c r="A484" s="47" t="s">
        <v>17</v>
      </c>
      <c r="B484" s="48" t="s">
        <v>68</v>
      </c>
      <c r="C484" s="47">
        <v>220025</v>
      </c>
      <c r="D484" s="47" t="s">
        <v>632</v>
      </c>
      <c r="E484" s="47" t="s">
        <v>70</v>
      </c>
      <c r="F484" s="49" t="s">
        <v>1021</v>
      </c>
      <c r="G484" s="47" t="s">
        <v>1022</v>
      </c>
      <c r="H484" s="47" t="s">
        <v>125</v>
      </c>
      <c r="I484" s="47" t="s">
        <v>135</v>
      </c>
      <c r="J484" s="47" t="s">
        <v>25</v>
      </c>
      <c r="K484" s="51">
        <v>55113636.36</v>
      </c>
      <c r="L484" s="47" t="s">
        <v>26</v>
      </c>
      <c r="M484" s="52">
        <f t="shared" ref="M484:M547" si="11">K484</f>
        <v>55113636.36</v>
      </c>
      <c r="N484" s="53">
        <v>0.12</v>
      </c>
      <c r="O484" s="47" t="s">
        <v>1019</v>
      </c>
      <c r="P484" s="47" t="s">
        <v>203</v>
      </c>
      <c r="Q484" s="47" t="s">
        <v>209</v>
      </c>
    </row>
    <row r="485" hidden="1" spans="1:17">
      <c r="A485" s="47" t="s">
        <v>17</v>
      </c>
      <c r="B485" s="48" t="s">
        <v>68</v>
      </c>
      <c r="C485" s="47">
        <v>220027</v>
      </c>
      <c r="D485" s="47" t="s">
        <v>632</v>
      </c>
      <c r="E485" s="47" t="s">
        <v>70</v>
      </c>
      <c r="F485" s="49" t="s">
        <v>1023</v>
      </c>
      <c r="G485" s="47" t="s">
        <v>1024</v>
      </c>
      <c r="H485" s="47" t="s">
        <v>163</v>
      </c>
      <c r="I485" s="47" t="s">
        <v>135</v>
      </c>
      <c r="J485" s="47" t="s">
        <v>25</v>
      </c>
      <c r="K485" s="51">
        <v>522727272.73</v>
      </c>
      <c r="L485" s="47" t="s">
        <v>26</v>
      </c>
      <c r="M485" s="52">
        <f t="shared" si="11"/>
        <v>522727272.73</v>
      </c>
      <c r="N485" s="53">
        <v>0.12</v>
      </c>
      <c r="O485" s="47" t="s">
        <v>1019</v>
      </c>
      <c r="P485" s="47" t="s">
        <v>373</v>
      </c>
      <c r="Q485" s="47" t="s">
        <v>33</v>
      </c>
    </row>
    <row r="486" hidden="1" spans="1:17">
      <c r="A486" s="47" t="s">
        <v>17</v>
      </c>
      <c r="B486" s="48" t="s">
        <v>68</v>
      </c>
      <c r="C486" s="47">
        <v>220463</v>
      </c>
      <c r="D486" s="47" t="s">
        <v>632</v>
      </c>
      <c r="E486" s="47" t="s">
        <v>70</v>
      </c>
      <c r="F486" s="49" t="s">
        <v>1025</v>
      </c>
      <c r="G486" s="47" t="s">
        <v>1026</v>
      </c>
      <c r="H486" s="47" t="s">
        <v>163</v>
      </c>
      <c r="I486" s="47" t="s">
        <v>135</v>
      </c>
      <c r="J486" s="47" t="s">
        <v>25</v>
      </c>
      <c r="K486" s="51">
        <v>50000000</v>
      </c>
      <c r="L486" s="47" t="s">
        <v>26</v>
      </c>
      <c r="M486" s="52">
        <f t="shared" si="11"/>
        <v>50000000</v>
      </c>
      <c r="N486" s="53">
        <v>0.1</v>
      </c>
      <c r="O486" s="47" t="s">
        <v>1019</v>
      </c>
      <c r="P486" s="47" t="s">
        <v>170</v>
      </c>
      <c r="Q486" s="47" t="s">
        <v>29</v>
      </c>
    </row>
    <row r="487" hidden="1" spans="1:17">
      <c r="A487" s="47" t="s">
        <v>17</v>
      </c>
      <c r="B487" s="48" t="s">
        <v>103</v>
      </c>
      <c r="C487" s="47">
        <v>220750</v>
      </c>
      <c r="D487" s="47" t="s">
        <v>435</v>
      </c>
      <c r="E487" s="47" t="s">
        <v>105</v>
      </c>
      <c r="F487" s="49" t="s">
        <v>709</v>
      </c>
      <c r="G487" s="47" t="s">
        <v>1027</v>
      </c>
      <c r="H487" s="47" t="s">
        <v>134</v>
      </c>
      <c r="I487" s="47" t="s">
        <v>135</v>
      </c>
      <c r="J487" s="47" t="s">
        <v>25</v>
      </c>
      <c r="K487" s="51">
        <v>555556</v>
      </c>
      <c r="L487" s="47" t="s">
        <v>26</v>
      </c>
      <c r="M487" s="52">
        <f t="shared" si="11"/>
        <v>555556</v>
      </c>
      <c r="N487" s="53">
        <v>0.1</v>
      </c>
      <c r="O487" s="47" t="s">
        <v>1019</v>
      </c>
      <c r="P487" s="47" t="s">
        <v>219</v>
      </c>
      <c r="Q487" s="47" t="s">
        <v>29</v>
      </c>
    </row>
    <row r="488" hidden="1" spans="1:17">
      <c r="A488" s="47" t="s">
        <v>17</v>
      </c>
      <c r="B488" s="48" t="s">
        <v>18</v>
      </c>
      <c r="C488" s="47">
        <v>222260</v>
      </c>
      <c r="D488" s="47" t="s">
        <v>171</v>
      </c>
      <c r="E488" s="47" t="s">
        <v>172</v>
      </c>
      <c r="F488" s="49" t="s">
        <v>1028</v>
      </c>
      <c r="G488" s="47" t="s">
        <v>1029</v>
      </c>
      <c r="H488" s="47" t="s">
        <v>134</v>
      </c>
      <c r="I488" s="47" t="s">
        <v>135</v>
      </c>
      <c r="J488" s="47" t="s">
        <v>25</v>
      </c>
      <c r="K488" s="51">
        <v>80000000</v>
      </c>
      <c r="L488" s="47" t="s">
        <v>26</v>
      </c>
      <c r="M488" s="52">
        <f t="shared" si="11"/>
        <v>80000000</v>
      </c>
      <c r="N488" s="54"/>
      <c r="O488" s="47" t="s">
        <v>1019</v>
      </c>
      <c r="P488" s="47" t="s">
        <v>501</v>
      </c>
      <c r="Q488" s="47" t="s">
        <v>100</v>
      </c>
    </row>
    <row r="489" hidden="1" spans="1:17">
      <c r="A489" s="47" t="s">
        <v>17</v>
      </c>
      <c r="B489" s="48" t="s">
        <v>68</v>
      </c>
      <c r="C489" s="47">
        <v>222473</v>
      </c>
      <c r="D489" s="47" t="s">
        <v>632</v>
      </c>
      <c r="E489" s="47" t="s">
        <v>70</v>
      </c>
      <c r="F489" s="49" t="s">
        <v>920</v>
      </c>
      <c r="G489" s="47" t="s">
        <v>1030</v>
      </c>
      <c r="H489" s="47" t="s">
        <v>134</v>
      </c>
      <c r="I489" s="47" t="s">
        <v>135</v>
      </c>
      <c r="J489" s="47" t="s">
        <v>25</v>
      </c>
      <c r="K489" s="51">
        <v>100000000</v>
      </c>
      <c r="L489" s="47" t="s">
        <v>26</v>
      </c>
      <c r="M489" s="52">
        <f t="shared" si="11"/>
        <v>100000000</v>
      </c>
      <c r="N489" s="53">
        <v>0.1</v>
      </c>
      <c r="O489" s="47" t="s">
        <v>1019</v>
      </c>
      <c r="P489" s="47" t="s">
        <v>1031</v>
      </c>
      <c r="Q489" s="47" t="s">
        <v>29</v>
      </c>
    </row>
    <row r="490" hidden="1" spans="1:17">
      <c r="A490" s="47" t="s">
        <v>17</v>
      </c>
      <c r="B490" s="48" t="s">
        <v>68</v>
      </c>
      <c r="C490" s="47">
        <v>222692</v>
      </c>
      <c r="D490" s="47" t="s">
        <v>69</v>
      </c>
      <c r="E490" s="47" t="s">
        <v>70</v>
      </c>
      <c r="F490" s="49" t="s">
        <v>1032</v>
      </c>
      <c r="G490" s="47" t="s">
        <v>1033</v>
      </c>
      <c r="H490" s="47" t="s">
        <v>163</v>
      </c>
      <c r="I490" s="47" t="s">
        <v>135</v>
      </c>
      <c r="J490" s="47" t="s">
        <v>25</v>
      </c>
      <c r="K490" s="51">
        <v>4000000</v>
      </c>
      <c r="L490" s="47" t="s">
        <v>26</v>
      </c>
      <c r="M490" s="52">
        <f t="shared" si="11"/>
        <v>4000000</v>
      </c>
      <c r="N490" s="53">
        <v>0.125</v>
      </c>
      <c r="O490" s="47" t="s">
        <v>1019</v>
      </c>
      <c r="P490" s="47" t="s">
        <v>183</v>
      </c>
      <c r="Q490" s="47" t="s">
        <v>29</v>
      </c>
    </row>
    <row r="491" hidden="1" spans="1:17">
      <c r="A491" s="47" t="s">
        <v>17</v>
      </c>
      <c r="B491" s="48" t="s">
        <v>68</v>
      </c>
      <c r="C491" s="47">
        <v>222693</v>
      </c>
      <c r="D491" s="47" t="s">
        <v>69</v>
      </c>
      <c r="E491" s="47" t="s">
        <v>70</v>
      </c>
      <c r="F491" s="49" t="s">
        <v>1032</v>
      </c>
      <c r="G491" s="47" t="s">
        <v>1034</v>
      </c>
      <c r="H491" s="47" t="s">
        <v>134</v>
      </c>
      <c r="I491" s="47" t="s">
        <v>135</v>
      </c>
      <c r="J491" s="47" t="s">
        <v>25</v>
      </c>
      <c r="K491" s="51">
        <v>1299999.99992909</v>
      </c>
      <c r="L491" s="47" t="s">
        <v>26</v>
      </c>
      <c r="M491" s="52">
        <f t="shared" si="11"/>
        <v>1299999.99992909</v>
      </c>
      <c r="N491" s="53">
        <v>0.15385</v>
      </c>
      <c r="O491" s="47" t="s">
        <v>1019</v>
      </c>
      <c r="P491" s="47" t="s">
        <v>183</v>
      </c>
      <c r="Q491" s="47" t="s">
        <v>29</v>
      </c>
    </row>
    <row r="492" hidden="1" spans="1:17">
      <c r="A492" s="47" t="s">
        <v>17</v>
      </c>
      <c r="B492" s="48" t="s">
        <v>68</v>
      </c>
      <c r="C492" s="47">
        <v>222691</v>
      </c>
      <c r="D492" s="47" t="s">
        <v>69</v>
      </c>
      <c r="E492" s="47" t="s">
        <v>70</v>
      </c>
      <c r="F492" s="49" t="s">
        <v>1032</v>
      </c>
      <c r="G492" s="47" t="s">
        <v>1035</v>
      </c>
      <c r="H492" s="47" t="s">
        <v>163</v>
      </c>
      <c r="I492" s="47" t="s">
        <v>135</v>
      </c>
      <c r="J492" s="47" t="s">
        <v>25</v>
      </c>
      <c r="K492" s="51">
        <v>20000000</v>
      </c>
      <c r="L492" s="47" t="s">
        <v>26</v>
      </c>
      <c r="M492" s="52">
        <f t="shared" si="11"/>
        <v>20000000</v>
      </c>
      <c r="N492" s="53">
        <v>0.125</v>
      </c>
      <c r="O492" s="47" t="s">
        <v>1019</v>
      </c>
      <c r="P492" s="47" t="s">
        <v>183</v>
      </c>
      <c r="Q492" s="47" t="s">
        <v>29</v>
      </c>
    </row>
    <row r="493" hidden="1" spans="1:17">
      <c r="A493" s="47" t="s">
        <v>17</v>
      </c>
      <c r="B493" s="48" t="s">
        <v>103</v>
      </c>
      <c r="C493" s="47">
        <v>222876</v>
      </c>
      <c r="D493" s="47" t="s">
        <v>326</v>
      </c>
      <c r="E493" s="47" t="s">
        <v>117</v>
      </c>
      <c r="F493" s="49" t="s">
        <v>1036</v>
      </c>
      <c r="G493" s="47" t="s">
        <v>1037</v>
      </c>
      <c r="H493" s="47" t="s">
        <v>134</v>
      </c>
      <c r="I493" s="47" t="s">
        <v>135</v>
      </c>
      <c r="J493" s="47" t="s">
        <v>25</v>
      </c>
      <c r="K493" s="51">
        <v>50700000</v>
      </c>
      <c r="L493" s="47" t="s">
        <v>26</v>
      </c>
      <c r="M493" s="52">
        <f t="shared" si="11"/>
        <v>50700000</v>
      </c>
      <c r="N493" s="53">
        <v>0.11243</v>
      </c>
      <c r="O493" s="47" t="s">
        <v>1019</v>
      </c>
      <c r="P493" s="47" t="s">
        <v>646</v>
      </c>
      <c r="Q493" s="47" t="s">
        <v>29</v>
      </c>
    </row>
    <row r="494" hidden="1" spans="1:17">
      <c r="A494" s="47" t="s">
        <v>17</v>
      </c>
      <c r="B494" s="48" t="s">
        <v>68</v>
      </c>
      <c r="C494" s="47">
        <v>223837</v>
      </c>
      <c r="D494" s="47" t="s">
        <v>281</v>
      </c>
      <c r="E494" s="47" t="s">
        <v>70</v>
      </c>
      <c r="F494" s="49" t="s">
        <v>492</v>
      </c>
      <c r="G494" s="47" t="s">
        <v>1038</v>
      </c>
      <c r="H494" s="47" t="s">
        <v>134</v>
      </c>
      <c r="I494" s="47" t="s">
        <v>135</v>
      </c>
      <c r="J494" s="47" t="s">
        <v>45</v>
      </c>
      <c r="K494" s="51">
        <v>2700000.000108</v>
      </c>
      <c r="L494" s="47" t="s">
        <v>26</v>
      </c>
      <c r="M494" s="52">
        <f t="shared" si="11"/>
        <v>2700000.000108</v>
      </c>
      <c r="N494" s="53">
        <v>0.16667</v>
      </c>
      <c r="O494" s="47" t="s">
        <v>1019</v>
      </c>
      <c r="P494" s="47" t="s">
        <v>87</v>
      </c>
      <c r="Q494" s="47" t="s">
        <v>29</v>
      </c>
    </row>
    <row r="495" hidden="1" spans="1:17">
      <c r="A495" s="47" t="s">
        <v>17</v>
      </c>
      <c r="B495" s="48" t="s">
        <v>40</v>
      </c>
      <c r="C495" s="47">
        <v>220078</v>
      </c>
      <c r="D495" s="47" t="s">
        <v>210</v>
      </c>
      <c r="E495" s="47" t="s">
        <v>42</v>
      </c>
      <c r="F495" s="49" t="s">
        <v>1039</v>
      </c>
      <c r="G495" s="47" t="s">
        <v>1040</v>
      </c>
      <c r="H495" s="47" t="s">
        <v>163</v>
      </c>
      <c r="I495" s="47" t="s">
        <v>135</v>
      </c>
      <c r="J495" s="47" t="s">
        <v>25</v>
      </c>
      <c r="K495" s="51">
        <v>50000000</v>
      </c>
      <c r="L495" s="47" t="s">
        <v>26</v>
      </c>
      <c r="M495" s="52">
        <f t="shared" si="11"/>
        <v>50000000</v>
      </c>
      <c r="N495" s="53">
        <v>0.2</v>
      </c>
      <c r="O495" s="47" t="s">
        <v>1041</v>
      </c>
      <c r="P495" s="47" t="s">
        <v>706</v>
      </c>
      <c r="Q495" s="47" t="s">
        <v>33</v>
      </c>
    </row>
    <row r="496" hidden="1" spans="1:17">
      <c r="A496" s="47" t="s">
        <v>17</v>
      </c>
      <c r="B496" s="48" t="s">
        <v>103</v>
      </c>
      <c r="C496" s="47">
        <v>216402</v>
      </c>
      <c r="D496" s="47" t="s">
        <v>104</v>
      </c>
      <c r="E496" s="47" t="s">
        <v>105</v>
      </c>
      <c r="F496" s="49" t="s">
        <v>1042</v>
      </c>
      <c r="G496" s="47" t="s">
        <v>1043</v>
      </c>
      <c r="H496" s="47" t="s">
        <v>163</v>
      </c>
      <c r="I496" s="47" t="s">
        <v>135</v>
      </c>
      <c r="J496" s="47" t="s">
        <v>25</v>
      </c>
      <c r="K496" s="51">
        <v>180000000</v>
      </c>
      <c r="L496" s="47" t="s">
        <v>26</v>
      </c>
      <c r="M496" s="52">
        <f t="shared" si="11"/>
        <v>180000000</v>
      </c>
      <c r="N496" s="53">
        <v>0.16667</v>
      </c>
      <c r="O496" s="47" t="s">
        <v>1044</v>
      </c>
      <c r="P496" s="47" t="s">
        <v>223</v>
      </c>
      <c r="Q496" s="47" t="s">
        <v>100</v>
      </c>
    </row>
    <row r="497" hidden="1" spans="1:17">
      <c r="A497" s="47" t="s">
        <v>17</v>
      </c>
      <c r="B497" s="48" t="s">
        <v>34</v>
      </c>
      <c r="C497" s="47">
        <v>220526</v>
      </c>
      <c r="D497" s="47" t="s">
        <v>36</v>
      </c>
      <c r="E497" s="47" t="s">
        <v>49</v>
      </c>
      <c r="F497" s="49" t="s">
        <v>648</v>
      </c>
      <c r="G497" s="47" t="s">
        <v>1045</v>
      </c>
      <c r="H497" s="47" t="s">
        <v>125</v>
      </c>
      <c r="I497" s="47" t="s">
        <v>135</v>
      </c>
      <c r="J497" s="47" t="s">
        <v>45</v>
      </c>
      <c r="K497" s="51">
        <v>1979748.81</v>
      </c>
      <c r="L497" s="47" t="s">
        <v>26</v>
      </c>
      <c r="M497" s="52">
        <f t="shared" si="11"/>
        <v>1979748.81</v>
      </c>
      <c r="N497" s="53">
        <v>0.09989</v>
      </c>
      <c r="O497" s="47" t="s">
        <v>1046</v>
      </c>
      <c r="P497" s="47" t="s">
        <v>226</v>
      </c>
      <c r="Q497" s="47" t="s">
        <v>33</v>
      </c>
    </row>
    <row r="498" hidden="1" spans="1:17">
      <c r="A498" s="47" t="s">
        <v>17</v>
      </c>
      <c r="B498" s="48" t="s">
        <v>103</v>
      </c>
      <c r="C498" s="47">
        <v>221864</v>
      </c>
      <c r="D498" s="47" t="s">
        <v>435</v>
      </c>
      <c r="E498" s="47" t="s">
        <v>105</v>
      </c>
      <c r="F498" s="49" t="s">
        <v>881</v>
      </c>
      <c r="G498" s="47" t="s">
        <v>1047</v>
      </c>
      <c r="H498" s="47" t="s">
        <v>134</v>
      </c>
      <c r="I498" s="47" t="s">
        <v>135</v>
      </c>
      <c r="J498" s="47" t="s">
        <v>25</v>
      </c>
      <c r="K498" s="51">
        <v>4500000</v>
      </c>
      <c r="L498" s="47" t="s">
        <v>26</v>
      </c>
      <c r="M498" s="52">
        <f t="shared" si="11"/>
        <v>4500000</v>
      </c>
      <c r="N498" s="53">
        <v>0.1</v>
      </c>
      <c r="O498" s="47" t="s">
        <v>1046</v>
      </c>
      <c r="P498" s="47" t="s">
        <v>367</v>
      </c>
      <c r="Q498" s="47" t="s">
        <v>209</v>
      </c>
    </row>
    <row r="499" hidden="1" spans="1:17">
      <c r="A499" s="47" t="s">
        <v>17</v>
      </c>
      <c r="B499" s="48" t="s">
        <v>103</v>
      </c>
      <c r="C499" s="47">
        <v>223212</v>
      </c>
      <c r="D499" s="47" t="s">
        <v>389</v>
      </c>
      <c r="E499" s="47" t="s">
        <v>105</v>
      </c>
      <c r="F499" s="49" t="s">
        <v>679</v>
      </c>
      <c r="G499" s="47" t="s">
        <v>1048</v>
      </c>
      <c r="H499" s="47" t="s">
        <v>134</v>
      </c>
      <c r="I499" s="47" t="s">
        <v>135</v>
      </c>
      <c r="J499" s="47" t="s">
        <v>25</v>
      </c>
      <c r="K499" s="51">
        <v>5000000</v>
      </c>
      <c r="L499" s="47" t="s">
        <v>26</v>
      </c>
      <c r="M499" s="52">
        <f t="shared" si="11"/>
        <v>5000000</v>
      </c>
      <c r="N499" s="53">
        <v>0.2</v>
      </c>
      <c r="O499" s="47" t="s">
        <v>1046</v>
      </c>
      <c r="P499" s="47" t="s">
        <v>401</v>
      </c>
      <c r="Q499" s="47" t="s">
        <v>209</v>
      </c>
    </row>
    <row r="500" hidden="1" spans="1:17">
      <c r="A500" s="47" t="s">
        <v>17</v>
      </c>
      <c r="B500" s="48" t="s">
        <v>18</v>
      </c>
      <c r="C500" s="47">
        <v>220382</v>
      </c>
      <c r="D500" s="47" t="s">
        <v>19</v>
      </c>
      <c r="E500" s="47" t="s">
        <v>20</v>
      </c>
      <c r="F500" s="49" t="s">
        <v>156</v>
      </c>
      <c r="G500" s="47" t="s">
        <v>1049</v>
      </c>
      <c r="H500" s="47" t="s">
        <v>163</v>
      </c>
      <c r="I500" s="47" t="s">
        <v>135</v>
      </c>
      <c r="J500" s="47" t="s">
        <v>25</v>
      </c>
      <c r="K500" s="51">
        <v>300000000</v>
      </c>
      <c r="L500" s="47" t="s">
        <v>26</v>
      </c>
      <c r="M500" s="52">
        <f t="shared" si="11"/>
        <v>300000000</v>
      </c>
      <c r="N500" s="53">
        <v>0.33333</v>
      </c>
      <c r="O500" s="47" t="s">
        <v>1050</v>
      </c>
      <c r="P500" s="47" t="s">
        <v>32</v>
      </c>
      <c r="Q500" s="47" t="s">
        <v>33</v>
      </c>
    </row>
    <row r="501" hidden="1" spans="1:17">
      <c r="A501" s="47" t="s">
        <v>17</v>
      </c>
      <c r="B501" s="48" t="s">
        <v>40</v>
      </c>
      <c r="C501" s="47">
        <v>223521</v>
      </c>
      <c r="D501" s="47" t="s">
        <v>210</v>
      </c>
      <c r="E501" s="47" t="s">
        <v>42</v>
      </c>
      <c r="F501" s="49" t="s">
        <v>473</v>
      </c>
      <c r="G501" s="47" t="s">
        <v>1051</v>
      </c>
      <c r="H501" s="47" t="s">
        <v>134</v>
      </c>
      <c r="I501" s="47" t="s">
        <v>135</v>
      </c>
      <c r="J501" s="47" t="s">
        <v>45</v>
      </c>
      <c r="K501" s="51">
        <v>50000000</v>
      </c>
      <c r="L501" s="47" t="s">
        <v>26</v>
      </c>
      <c r="M501" s="52">
        <f t="shared" si="11"/>
        <v>50000000</v>
      </c>
      <c r="N501" s="53">
        <v>0.2</v>
      </c>
      <c r="O501" s="47" t="s">
        <v>1050</v>
      </c>
      <c r="P501" s="47" t="s">
        <v>193</v>
      </c>
      <c r="Q501" s="47" t="s">
        <v>33</v>
      </c>
    </row>
    <row r="502" hidden="1" spans="1:17">
      <c r="A502" s="47" t="s">
        <v>17</v>
      </c>
      <c r="B502" s="48" t="s">
        <v>40</v>
      </c>
      <c r="C502" s="47">
        <v>221313</v>
      </c>
      <c r="D502" s="47" t="s">
        <v>122</v>
      </c>
      <c r="E502" s="47" t="s">
        <v>42</v>
      </c>
      <c r="F502" s="49" t="s">
        <v>559</v>
      </c>
      <c r="G502" s="47" t="s">
        <v>1052</v>
      </c>
      <c r="H502" s="47" t="s">
        <v>134</v>
      </c>
      <c r="I502" s="47" t="s">
        <v>135</v>
      </c>
      <c r="J502" s="47" t="s">
        <v>45</v>
      </c>
      <c r="K502" s="51">
        <v>70000000</v>
      </c>
      <c r="L502" s="47" t="s">
        <v>26</v>
      </c>
      <c r="M502" s="52">
        <f t="shared" si="11"/>
        <v>70000000</v>
      </c>
      <c r="N502" s="53">
        <v>0.15</v>
      </c>
      <c r="O502" s="47" t="s">
        <v>1053</v>
      </c>
      <c r="P502" s="47" t="s">
        <v>155</v>
      </c>
      <c r="Q502" s="47" t="s">
        <v>259</v>
      </c>
    </row>
    <row r="503" hidden="1" spans="1:17">
      <c r="A503" s="47" t="s">
        <v>17</v>
      </c>
      <c r="B503" s="48" t="s">
        <v>103</v>
      </c>
      <c r="C503" s="47">
        <v>221863</v>
      </c>
      <c r="D503" s="47" t="s">
        <v>435</v>
      </c>
      <c r="E503" s="47" t="s">
        <v>105</v>
      </c>
      <c r="F503" s="49" t="s">
        <v>468</v>
      </c>
      <c r="G503" s="47" t="s">
        <v>1054</v>
      </c>
      <c r="H503" s="47" t="s">
        <v>163</v>
      </c>
      <c r="I503" s="47" t="s">
        <v>135</v>
      </c>
      <c r="J503" s="47" t="s">
        <v>721</v>
      </c>
      <c r="K503" s="51">
        <v>500000.4</v>
      </c>
      <c r="L503" s="47" t="s">
        <v>26</v>
      </c>
      <c r="M503" s="52">
        <f t="shared" si="11"/>
        <v>500000.4</v>
      </c>
      <c r="N503" s="53">
        <v>0.1</v>
      </c>
      <c r="O503" s="47" t="s">
        <v>1053</v>
      </c>
      <c r="P503" s="47" t="s">
        <v>367</v>
      </c>
      <c r="Q503" s="47" t="s">
        <v>33</v>
      </c>
    </row>
    <row r="504" hidden="1" spans="1:17">
      <c r="A504" s="47" t="s">
        <v>17</v>
      </c>
      <c r="B504" s="48" t="s">
        <v>103</v>
      </c>
      <c r="C504" s="47">
        <v>222445</v>
      </c>
      <c r="D504" s="47" t="s">
        <v>435</v>
      </c>
      <c r="E504" s="47" t="s">
        <v>105</v>
      </c>
      <c r="F504" s="49" t="s">
        <v>1055</v>
      </c>
      <c r="G504" s="47" t="s">
        <v>1056</v>
      </c>
      <c r="H504" s="47" t="s">
        <v>163</v>
      </c>
      <c r="I504" s="47" t="s">
        <v>135</v>
      </c>
      <c r="J504" s="47" t="s">
        <v>25</v>
      </c>
      <c r="K504" s="51">
        <v>10000008</v>
      </c>
      <c r="L504" s="47" t="s">
        <v>26</v>
      </c>
      <c r="M504" s="52">
        <f t="shared" si="11"/>
        <v>10000008</v>
      </c>
      <c r="N504" s="53">
        <v>0.1</v>
      </c>
      <c r="O504" s="47" t="s">
        <v>1057</v>
      </c>
      <c r="P504" s="47" t="s">
        <v>793</v>
      </c>
      <c r="Q504" s="47" t="s">
        <v>29</v>
      </c>
    </row>
    <row r="505" hidden="1" spans="1:17">
      <c r="A505" s="47" t="s">
        <v>17</v>
      </c>
      <c r="B505" s="48" t="s">
        <v>18</v>
      </c>
      <c r="C505" s="47">
        <v>220400</v>
      </c>
      <c r="D505" s="47" t="s">
        <v>747</v>
      </c>
      <c r="E505" s="47" t="s">
        <v>172</v>
      </c>
      <c r="F505" s="49" t="s">
        <v>1058</v>
      </c>
      <c r="G505" s="47" t="s">
        <v>1059</v>
      </c>
      <c r="H505" s="47" t="s">
        <v>163</v>
      </c>
      <c r="I505" s="47" t="s">
        <v>135</v>
      </c>
      <c r="J505" s="47" t="s">
        <v>45</v>
      </c>
      <c r="K505" s="51">
        <v>15000000</v>
      </c>
      <c r="L505" s="47" t="s">
        <v>26</v>
      </c>
      <c r="M505" s="52">
        <f t="shared" si="11"/>
        <v>15000000</v>
      </c>
      <c r="N505" s="53">
        <v>0.33333</v>
      </c>
      <c r="O505" s="47" t="s">
        <v>1060</v>
      </c>
      <c r="P505" s="47" t="s">
        <v>32</v>
      </c>
      <c r="Q505" s="47" t="s">
        <v>100</v>
      </c>
    </row>
    <row r="506" hidden="1" spans="1:17">
      <c r="A506" s="47" t="s">
        <v>17</v>
      </c>
      <c r="B506" s="48" t="s">
        <v>18</v>
      </c>
      <c r="C506" s="47">
        <v>220513</v>
      </c>
      <c r="D506" s="47" t="s">
        <v>747</v>
      </c>
      <c r="E506" s="47" t="s">
        <v>172</v>
      </c>
      <c r="F506" s="49" t="s">
        <v>1061</v>
      </c>
      <c r="G506" s="47" t="s">
        <v>1062</v>
      </c>
      <c r="H506" s="47" t="s">
        <v>163</v>
      </c>
      <c r="I506" s="47" t="s">
        <v>135</v>
      </c>
      <c r="J506" s="47" t="s">
        <v>45</v>
      </c>
      <c r="K506" s="51">
        <v>35000000</v>
      </c>
      <c r="L506" s="47" t="s">
        <v>26</v>
      </c>
      <c r="M506" s="52">
        <f t="shared" si="11"/>
        <v>35000000</v>
      </c>
      <c r="N506" s="53">
        <v>0.14286</v>
      </c>
      <c r="O506" s="47" t="s">
        <v>1063</v>
      </c>
      <c r="P506" s="47" t="s">
        <v>170</v>
      </c>
      <c r="Q506" s="47" t="s">
        <v>100</v>
      </c>
    </row>
    <row r="507" hidden="1" spans="1:17">
      <c r="A507" s="47" t="s">
        <v>17</v>
      </c>
      <c r="B507" s="48" t="s">
        <v>34</v>
      </c>
      <c r="C507" s="47">
        <v>220443</v>
      </c>
      <c r="D507" s="47" t="s">
        <v>738</v>
      </c>
      <c r="E507" s="47" t="s">
        <v>621</v>
      </c>
      <c r="F507" s="49" t="s">
        <v>888</v>
      </c>
      <c r="G507" s="47" t="s">
        <v>1064</v>
      </c>
      <c r="H507" s="47" t="s">
        <v>163</v>
      </c>
      <c r="I507" s="47" t="s">
        <v>135</v>
      </c>
      <c r="J507" s="47" t="s">
        <v>741</v>
      </c>
      <c r="K507" s="51">
        <v>150000000</v>
      </c>
      <c r="L507" s="47" t="s">
        <v>26</v>
      </c>
      <c r="M507" s="52">
        <f t="shared" si="11"/>
        <v>150000000</v>
      </c>
      <c r="N507" s="53">
        <v>0.23333</v>
      </c>
      <c r="O507" s="47" t="s">
        <v>1065</v>
      </c>
      <c r="P507" s="47" t="s">
        <v>170</v>
      </c>
      <c r="Q507" s="47" t="s">
        <v>33</v>
      </c>
    </row>
    <row r="508" hidden="1" spans="1:17">
      <c r="A508" s="48" t="s">
        <v>17</v>
      </c>
      <c r="B508" s="48" t="s">
        <v>18</v>
      </c>
      <c r="C508" s="47">
        <v>208503</v>
      </c>
      <c r="D508" s="47" t="s">
        <v>171</v>
      </c>
      <c r="E508" s="47" t="s">
        <v>172</v>
      </c>
      <c r="F508" s="49" t="s">
        <v>1066</v>
      </c>
      <c r="G508" s="47" t="s">
        <v>1067</v>
      </c>
      <c r="H508" s="47" t="s">
        <v>134</v>
      </c>
      <c r="I508" s="47" t="s">
        <v>135</v>
      </c>
      <c r="J508" s="47" t="s">
        <v>25</v>
      </c>
      <c r="K508" s="51">
        <v>10000000</v>
      </c>
      <c r="L508" s="47" t="s">
        <v>26</v>
      </c>
      <c r="M508" s="52">
        <f t="shared" si="11"/>
        <v>10000000</v>
      </c>
      <c r="N508" s="53">
        <v>0.25</v>
      </c>
      <c r="O508" s="47" t="s">
        <v>1068</v>
      </c>
      <c r="P508" s="47" t="s">
        <v>1069</v>
      </c>
      <c r="Q508" s="47" t="s">
        <v>29</v>
      </c>
    </row>
    <row r="509" hidden="1" spans="1:17">
      <c r="A509" s="47" t="s">
        <v>17</v>
      </c>
      <c r="B509" s="48" t="s">
        <v>103</v>
      </c>
      <c r="C509" s="47">
        <v>213955</v>
      </c>
      <c r="D509" s="47" t="s">
        <v>160</v>
      </c>
      <c r="E509" s="47" t="s">
        <v>117</v>
      </c>
      <c r="F509" s="49" t="s">
        <v>1070</v>
      </c>
      <c r="G509" s="47" t="s">
        <v>1071</v>
      </c>
      <c r="H509" s="47" t="s">
        <v>134</v>
      </c>
      <c r="I509" s="47" t="s">
        <v>135</v>
      </c>
      <c r="J509" s="47" t="s">
        <v>25</v>
      </c>
      <c r="K509" s="51">
        <v>80000000</v>
      </c>
      <c r="L509" s="47" t="s">
        <v>26</v>
      </c>
      <c r="M509" s="52">
        <f t="shared" si="11"/>
        <v>80000000</v>
      </c>
      <c r="N509" s="53">
        <v>0.9375</v>
      </c>
      <c r="O509" s="47" t="s">
        <v>1068</v>
      </c>
      <c r="P509" s="47" t="s">
        <v>548</v>
      </c>
      <c r="Q509" s="47" t="s">
        <v>33</v>
      </c>
    </row>
    <row r="510" hidden="1" spans="1:17">
      <c r="A510" s="47" t="s">
        <v>17</v>
      </c>
      <c r="B510" s="48" t="s">
        <v>103</v>
      </c>
      <c r="C510" s="47">
        <v>215355</v>
      </c>
      <c r="D510" s="47" t="s">
        <v>1072</v>
      </c>
      <c r="E510" s="47" t="s">
        <v>1073</v>
      </c>
      <c r="F510" s="49" t="s">
        <v>1074</v>
      </c>
      <c r="G510" s="47" t="s">
        <v>1075</v>
      </c>
      <c r="H510" s="47" t="s">
        <v>125</v>
      </c>
      <c r="I510" s="47" t="s">
        <v>135</v>
      </c>
      <c r="J510" s="47" t="s">
        <v>25</v>
      </c>
      <c r="K510" s="51">
        <v>6600000</v>
      </c>
      <c r="L510" s="47" t="s">
        <v>26</v>
      </c>
      <c r="M510" s="52">
        <f t="shared" si="11"/>
        <v>6600000</v>
      </c>
      <c r="N510" s="53">
        <v>0.16667</v>
      </c>
      <c r="O510" s="47" t="s">
        <v>1068</v>
      </c>
      <c r="P510" s="47" t="s">
        <v>1076</v>
      </c>
      <c r="Q510" s="47" t="s">
        <v>29</v>
      </c>
    </row>
    <row r="511" hidden="1" spans="1:17">
      <c r="A511" s="47" t="s">
        <v>17</v>
      </c>
      <c r="B511" s="48" t="s">
        <v>18</v>
      </c>
      <c r="C511" s="47">
        <v>215844</v>
      </c>
      <c r="D511" s="47" t="s">
        <v>747</v>
      </c>
      <c r="E511" s="47" t="s">
        <v>172</v>
      </c>
      <c r="F511" s="49" t="s">
        <v>1077</v>
      </c>
      <c r="G511" s="47" t="s">
        <v>1078</v>
      </c>
      <c r="H511" s="47" t="s">
        <v>163</v>
      </c>
      <c r="I511" s="47" t="s">
        <v>135</v>
      </c>
      <c r="J511" s="47" t="s">
        <v>45</v>
      </c>
      <c r="K511" s="51">
        <v>50000000</v>
      </c>
      <c r="L511" s="47" t="s">
        <v>26</v>
      </c>
      <c r="M511" s="52">
        <f t="shared" si="11"/>
        <v>50000000</v>
      </c>
      <c r="N511" s="54"/>
      <c r="O511" s="47" t="s">
        <v>1068</v>
      </c>
      <c r="P511" s="47" t="s">
        <v>517</v>
      </c>
      <c r="Q511" s="47" t="s">
        <v>33</v>
      </c>
    </row>
    <row r="512" hidden="1" spans="1:17">
      <c r="A512" s="47" t="s">
        <v>17</v>
      </c>
      <c r="B512" s="48" t="s">
        <v>18</v>
      </c>
      <c r="C512" s="47">
        <v>220381</v>
      </c>
      <c r="D512" s="47" t="s">
        <v>19</v>
      </c>
      <c r="E512" s="47" t="s">
        <v>20</v>
      </c>
      <c r="F512" s="49" t="s">
        <v>1079</v>
      </c>
      <c r="G512" s="47" t="s">
        <v>1080</v>
      </c>
      <c r="H512" s="47" t="s">
        <v>163</v>
      </c>
      <c r="I512" s="47" t="s">
        <v>135</v>
      </c>
      <c r="J512" s="47" t="s">
        <v>25</v>
      </c>
      <c r="K512" s="51">
        <v>80000000</v>
      </c>
      <c r="L512" s="47" t="s">
        <v>26</v>
      </c>
      <c r="M512" s="52">
        <f t="shared" si="11"/>
        <v>80000000</v>
      </c>
      <c r="N512" s="53">
        <v>0.125</v>
      </c>
      <c r="O512" s="47" t="s">
        <v>1068</v>
      </c>
      <c r="P512" s="47" t="s">
        <v>32</v>
      </c>
      <c r="Q512" s="47" t="s">
        <v>29</v>
      </c>
    </row>
    <row r="513" hidden="1" spans="1:17">
      <c r="A513" s="47" t="s">
        <v>17</v>
      </c>
      <c r="B513" s="48" t="s">
        <v>68</v>
      </c>
      <c r="C513" s="47">
        <v>220484</v>
      </c>
      <c r="D513" s="47" t="s">
        <v>632</v>
      </c>
      <c r="E513" s="47" t="s">
        <v>70</v>
      </c>
      <c r="F513" s="49" t="s">
        <v>1081</v>
      </c>
      <c r="G513" s="47" t="s">
        <v>1082</v>
      </c>
      <c r="H513" s="47" t="s">
        <v>134</v>
      </c>
      <c r="I513" s="47" t="s">
        <v>135</v>
      </c>
      <c r="J513" s="47" t="s">
        <v>25</v>
      </c>
      <c r="K513" s="51">
        <v>279999999.98656</v>
      </c>
      <c r="L513" s="47" t="s">
        <v>26</v>
      </c>
      <c r="M513" s="52">
        <f t="shared" si="11"/>
        <v>279999999.98656</v>
      </c>
      <c r="N513" s="53">
        <v>0.10714</v>
      </c>
      <c r="O513" s="47" t="s">
        <v>1068</v>
      </c>
      <c r="P513" s="47" t="s">
        <v>170</v>
      </c>
      <c r="Q513" s="47" t="s">
        <v>33</v>
      </c>
    </row>
    <row r="514" hidden="1" spans="1:17">
      <c r="A514" s="47" t="s">
        <v>17</v>
      </c>
      <c r="B514" s="48" t="s">
        <v>68</v>
      </c>
      <c r="C514" s="47">
        <v>220705</v>
      </c>
      <c r="D514" s="47" t="s">
        <v>632</v>
      </c>
      <c r="E514" s="47" t="s">
        <v>70</v>
      </c>
      <c r="F514" s="49" t="s">
        <v>1083</v>
      </c>
      <c r="G514" s="47" t="s">
        <v>1084</v>
      </c>
      <c r="H514" s="47" t="s">
        <v>134</v>
      </c>
      <c r="I514" s="47" t="s">
        <v>135</v>
      </c>
      <c r="J514" s="47" t="s">
        <v>25</v>
      </c>
      <c r="K514" s="51">
        <v>50000000</v>
      </c>
      <c r="L514" s="47" t="s">
        <v>26</v>
      </c>
      <c r="M514" s="52">
        <f t="shared" si="11"/>
        <v>50000000</v>
      </c>
      <c r="N514" s="53">
        <v>0.1</v>
      </c>
      <c r="O514" s="47" t="s">
        <v>1068</v>
      </c>
      <c r="P514" s="47" t="s">
        <v>219</v>
      </c>
      <c r="Q514" s="47" t="s">
        <v>33</v>
      </c>
    </row>
    <row r="515" hidden="1" spans="1:17">
      <c r="A515" s="47" t="s">
        <v>17</v>
      </c>
      <c r="B515" s="48" t="s">
        <v>68</v>
      </c>
      <c r="C515" s="47">
        <v>222502</v>
      </c>
      <c r="D515" s="47" t="s">
        <v>69</v>
      </c>
      <c r="E515" s="47" t="s">
        <v>70</v>
      </c>
      <c r="F515" s="49" t="s">
        <v>1085</v>
      </c>
      <c r="G515" s="47" t="s">
        <v>1086</v>
      </c>
      <c r="H515" s="47" t="s">
        <v>134</v>
      </c>
      <c r="I515" s="47" t="s">
        <v>135</v>
      </c>
      <c r="J515" s="47" t="s">
        <v>25</v>
      </c>
      <c r="K515" s="51">
        <v>50000000</v>
      </c>
      <c r="L515" s="47" t="s">
        <v>26</v>
      </c>
      <c r="M515" s="52">
        <f t="shared" si="11"/>
        <v>50000000</v>
      </c>
      <c r="N515" s="53">
        <v>0.15</v>
      </c>
      <c r="O515" s="47" t="s">
        <v>1068</v>
      </c>
      <c r="P515" s="47" t="s">
        <v>180</v>
      </c>
      <c r="Q515" s="47" t="s">
        <v>100</v>
      </c>
    </row>
    <row r="516" hidden="1" spans="1:17">
      <c r="A516" s="47" t="s">
        <v>17</v>
      </c>
      <c r="B516" s="48" t="s">
        <v>103</v>
      </c>
      <c r="C516" s="47">
        <v>222875</v>
      </c>
      <c r="D516" s="47" t="s">
        <v>326</v>
      </c>
      <c r="E516" s="47" t="s">
        <v>117</v>
      </c>
      <c r="F516" s="49" t="s">
        <v>1087</v>
      </c>
      <c r="G516" s="47" t="s">
        <v>1088</v>
      </c>
      <c r="H516" s="47" t="s">
        <v>134</v>
      </c>
      <c r="I516" s="47" t="s">
        <v>135</v>
      </c>
      <c r="J516" s="47" t="s">
        <v>25</v>
      </c>
      <c r="K516" s="51">
        <v>15000000.0006</v>
      </c>
      <c r="L516" s="47" t="s">
        <v>26</v>
      </c>
      <c r="M516" s="52">
        <f t="shared" si="11"/>
        <v>15000000.0006</v>
      </c>
      <c r="N516" s="53">
        <v>0.16667</v>
      </c>
      <c r="O516" s="47" t="s">
        <v>1068</v>
      </c>
      <c r="P516" s="47" t="s">
        <v>646</v>
      </c>
      <c r="Q516" s="47" t="s">
        <v>29</v>
      </c>
    </row>
    <row r="517" hidden="1" spans="1:17">
      <c r="A517" s="47" t="s">
        <v>17</v>
      </c>
      <c r="B517" s="48" t="s">
        <v>103</v>
      </c>
      <c r="C517" s="47">
        <v>222874</v>
      </c>
      <c r="D517" s="47" t="s">
        <v>326</v>
      </c>
      <c r="E517" s="47" t="s">
        <v>117</v>
      </c>
      <c r="F517" s="49" t="s">
        <v>1089</v>
      </c>
      <c r="G517" s="47" t="s">
        <v>1090</v>
      </c>
      <c r="H517" s="47" t="s">
        <v>163</v>
      </c>
      <c r="I517" s="47" t="s">
        <v>135</v>
      </c>
      <c r="J517" s="47" t="s">
        <v>25</v>
      </c>
      <c r="K517" s="51">
        <v>79411764.7</v>
      </c>
      <c r="L517" s="47" t="s">
        <v>26</v>
      </c>
      <c r="M517" s="52">
        <f t="shared" si="11"/>
        <v>79411764.7</v>
      </c>
      <c r="N517" s="53">
        <v>0.15</v>
      </c>
      <c r="O517" s="47" t="s">
        <v>1068</v>
      </c>
      <c r="P517" s="47" t="s">
        <v>646</v>
      </c>
      <c r="Q517" s="47" t="s">
        <v>33</v>
      </c>
    </row>
    <row r="518" hidden="1" spans="1:17">
      <c r="A518" s="47" t="s">
        <v>17</v>
      </c>
      <c r="B518" s="48" t="s">
        <v>18</v>
      </c>
      <c r="C518" s="47">
        <v>223731</v>
      </c>
      <c r="D518" s="47" t="s">
        <v>171</v>
      </c>
      <c r="E518" s="47" t="s">
        <v>172</v>
      </c>
      <c r="F518" s="49" t="s">
        <v>1091</v>
      </c>
      <c r="G518" s="47" t="s">
        <v>1092</v>
      </c>
      <c r="H518" s="47" t="s">
        <v>163</v>
      </c>
      <c r="I518" s="47" t="s">
        <v>135</v>
      </c>
      <c r="J518" s="47" t="s">
        <v>25</v>
      </c>
      <c r="K518" s="51">
        <v>8200000.05</v>
      </c>
      <c r="L518" s="47" t="s">
        <v>26</v>
      </c>
      <c r="M518" s="52">
        <f t="shared" si="11"/>
        <v>8200000.05</v>
      </c>
      <c r="N518" s="53">
        <v>0.21951</v>
      </c>
      <c r="O518" s="47" t="s">
        <v>1068</v>
      </c>
      <c r="P518" s="47" t="s">
        <v>159</v>
      </c>
      <c r="Q518" s="47" t="s">
        <v>100</v>
      </c>
    </row>
    <row r="519" hidden="1" spans="1:17">
      <c r="A519" s="47" t="s">
        <v>17</v>
      </c>
      <c r="B519" s="48" t="s">
        <v>18</v>
      </c>
      <c r="C519" s="47">
        <v>223765</v>
      </c>
      <c r="D519" s="47" t="s">
        <v>19</v>
      </c>
      <c r="E519" s="47" t="s">
        <v>20</v>
      </c>
      <c r="F519" s="49" t="s">
        <v>1079</v>
      </c>
      <c r="G519" s="47" t="s">
        <v>1093</v>
      </c>
      <c r="H519" s="47" t="s">
        <v>163</v>
      </c>
      <c r="I519" s="47" t="s">
        <v>135</v>
      </c>
      <c r="J519" s="47" t="s">
        <v>25</v>
      </c>
      <c r="K519" s="51">
        <v>120000000</v>
      </c>
      <c r="L519" s="47" t="s">
        <v>26</v>
      </c>
      <c r="M519" s="52">
        <f t="shared" si="11"/>
        <v>120000000</v>
      </c>
      <c r="N519" s="53">
        <v>0.125</v>
      </c>
      <c r="O519" s="47" t="s">
        <v>1068</v>
      </c>
      <c r="P519" s="47" t="s">
        <v>159</v>
      </c>
      <c r="Q519" s="47" t="s">
        <v>29</v>
      </c>
    </row>
    <row r="520" hidden="1" spans="1:17">
      <c r="A520" s="47" t="s">
        <v>17</v>
      </c>
      <c r="B520" s="48" t="s">
        <v>18</v>
      </c>
      <c r="C520" s="47">
        <v>223766</v>
      </c>
      <c r="D520" s="47" t="s">
        <v>19</v>
      </c>
      <c r="E520" s="47" t="s">
        <v>20</v>
      </c>
      <c r="F520" s="49" t="s">
        <v>1079</v>
      </c>
      <c r="G520" s="47" t="s">
        <v>1094</v>
      </c>
      <c r="H520" s="47" t="s">
        <v>163</v>
      </c>
      <c r="I520" s="47" t="s">
        <v>135</v>
      </c>
      <c r="J520" s="47" t="s">
        <v>25</v>
      </c>
      <c r="K520" s="51">
        <v>70000000</v>
      </c>
      <c r="L520" s="47" t="s">
        <v>26</v>
      </c>
      <c r="M520" s="52">
        <f t="shared" si="11"/>
        <v>70000000</v>
      </c>
      <c r="N520" s="53">
        <v>0.14286</v>
      </c>
      <c r="O520" s="47" t="s">
        <v>1068</v>
      </c>
      <c r="P520" s="47" t="s">
        <v>159</v>
      </c>
      <c r="Q520" s="47" t="s">
        <v>100</v>
      </c>
    </row>
    <row r="521" hidden="1" spans="1:17">
      <c r="A521" s="47" t="s">
        <v>17</v>
      </c>
      <c r="B521" s="48" t="s">
        <v>18</v>
      </c>
      <c r="C521" s="47">
        <v>223781</v>
      </c>
      <c r="D521" s="47" t="s">
        <v>19</v>
      </c>
      <c r="E521" s="47" t="s">
        <v>20</v>
      </c>
      <c r="F521" s="49" t="s">
        <v>1079</v>
      </c>
      <c r="G521" s="47" t="s">
        <v>1095</v>
      </c>
      <c r="H521" s="47" t="s">
        <v>163</v>
      </c>
      <c r="I521" s="47" t="s">
        <v>135</v>
      </c>
      <c r="J521" s="47" t="s">
        <v>25</v>
      </c>
      <c r="K521" s="51">
        <v>20000000</v>
      </c>
      <c r="L521" s="47" t="s">
        <v>26</v>
      </c>
      <c r="M521" s="52">
        <f t="shared" si="11"/>
        <v>20000000</v>
      </c>
      <c r="N521" s="53">
        <v>0.1</v>
      </c>
      <c r="O521" s="47" t="s">
        <v>1068</v>
      </c>
      <c r="P521" s="47" t="s">
        <v>87</v>
      </c>
      <c r="Q521" s="47" t="s">
        <v>259</v>
      </c>
    </row>
    <row r="522" hidden="1" spans="1:17">
      <c r="A522" s="47" t="s">
        <v>17</v>
      </c>
      <c r="B522" s="48" t="s">
        <v>40</v>
      </c>
      <c r="C522" s="47">
        <v>216375</v>
      </c>
      <c r="D522" s="47" t="s">
        <v>210</v>
      </c>
      <c r="E522" s="47" t="s">
        <v>42</v>
      </c>
      <c r="F522" s="49" t="s">
        <v>214</v>
      </c>
      <c r="G522" s="47" t="s">
        <v>1096</v>
      </c>
      <c r="H522" s="47" t="s">
        <v>163</v>
      </c>
      <c r="I522" s="47" t="s">
        <v>135</v>
      </c>
      <c r="J522" s="47" t="s">
        <v>45</v>
      </c>
      <c r="K522" s="51">
        <v>10000000</v>
      </c>
      <c r="L522" s="47" t="s">
        <v>26</v>
      </c>
      <c r="M522" s="52">
        <f t="shared" si="11"/>
        <v>10000000</v>
      </c>
      <c r="N522" s="53">
        <v>0.2</v>
      </c>
      <c r="O522" s="47" t="s">
        <v>1097</v>
      </c>
      <c r="P522" s="47" t="s">
        <v>127</v>
      </c>
      <c r="Q522" s="47" t="s">
        <v>29</v>
      </c>
    </row>
    <row r="523" hidden="1" spans="1:17">
      <c r="A523" s="47" t="s">
        <v>17</v>
      </c>
      <c r="B523" s="48" t="s">
        <v>40</v>
      </c>
      <c r="C523" s="47">
        <v>220057</v>
      </c>
      <c r="D523" s="47" t="s">
        <v>210</v>
      </c>
      <c r="E523" s="47" t="s">
        <v>42</v>
      </c>
      <c r="F523" s="49" t="s">
        <v>371</v>
      </c>
      <c r="G523" s="47" t="s">
        <v>1098</v>
      </c>
      <c r="H523" s="47" t="s">
        <v>134</v>
      </c>
      <c r="I523" s="47" t="s">
        <v>135</v>
      </c>
      <c r="J523" s="47" t="s">
        <v>25</v>
      </c>
      <c r="K523" s="51">
        <v>250000000</v>
      </c>
      <c r="L523" s="47" t="s">
        <v>26</v>
      </c>
      <c r="M523" s="52">
        <f t="shared" si="11"/>
        <v>250000000</v>
      </c>
      <c r="N523" s="53">
        <v>0.2</v>
      </c>
      <c r="O523" s="47" t="s">
        <v>1097</v>
      </c>
      <c r="P523" s="47" t="s">
        <v>373</v>
      </c>
      <c r="Q523" s="47" t="s">
        <v>209</v>
      </c>
    </row>
    <row r="524" hidden="1" spans="1:17">
      <c r="A524" s="47" t="s">
        <v>17</v>
      </c>
      <c r="B524" s="48" t="s">
        <v>40</v>
      </c>
      <c r="C524" s="47">
        <v>220682</v>
      </c>
      <c r="D524" s="47" t="s">
        <v>210</v>
      </c>
      <c r="E524" s="47" t="s">
        <v>42</v>
      </c>
      <c r="F524" s="49" t="s">
        <v>473</v>
      </c>
      <c r="G524" s="47" t="s">
        <v>1099</v>
      </c>
      <c r="H524" s="47" t="s">
        <v>134</v>
      </c>
      <c r="I524" s="47" t="s">
        <v>135</v>
      </c>
      <c r="J524" s="47" t="s">
        <v>45</v>
      </c>
      <c r="K524" s="51">
        <v>200000000</v>
      </c>
      <c r="L524" s="47" t="s">
        <v>26</v>
      </c>
      <c r="M524" s="52">
        <f t="shared" si="11"/>
        <v>200000000</v>
      </c>
      <c r="N524" s="53">
        <v>0.1</v>
      </c>
      <c r="O524" s="47" t="s">
        <v>1097</v>
      </c>
      <c r="P524" s="47" t="s">
        <v>428</v>
      </c>
      <c r="Q524" s="47" t="s">
        <v>33</v>
      </c>
    </row>
    <row r="525" hidden="1" spans="1:17">
      <c r="A525" s="47" t="s">
        <v>17</v>
      </c>
      <c r="B525" s="48" t="s">
        <v>34</v>
      </c>
      <c r="C525" s="47">
        <v>223255</v>
      </c>
      <c r="D525" s="47" t="s">
        <v>35</v>
      </c>
      <c r="E525" s="47" t="s">
        <v>36</v>
      </c>
      <c r="F525" s="49" t="s">
        <v>699</v>
      </c>
      <c r="G525" s="47" t="s">
        <v>1100</v>
      </c>
      <c r="H525" s="47" t="s">
        <v>134</v>
      </c>
      <c r="I525" s="47" t="s">
        <v>135</v>
      </c>
      <c r="J525" s="47" t="s">
        <v>25</v>
      </c>
      <c r="K525" s="51">
        <v>10000000</v>
      </c>
      <c r="L525" s="47" t="s">
        <v>26</v>
      </c>
      <c r="M525" s="52">
        <f t="shared" si="11"/>
        <v>10000000</v>
      </c>
      <c r="N525" s="53">
        <v>0.1</v>
      </c>
      <c r="O525" s="47" t="s">
        <v>1101</v>
      </c>
      <c r="P525" s="47" t="s">
        <v>47</v>
      </c>
      <c r="Q525" s="47" t="s">
        <v>33</v>
      </c>
    </row>
    <row r="526" hidden="1" spans="1:17">
      <c r="A526" s="47" t="s">
        <v>17</v>
      </c>
      <c r="B526" s="48" t="s">
        <v>40</v>
      </c>
      <c r="C526" s="47">
        <v>223013</v>
      </c>
      <c r="D526" s="47" t="s">
        <v>122</v>
      </c>
      <c r="E526" s="47" t="s">
        <v>42</v>
      </c>
      <c r="F526" s="49" t="s">
        <v>1102</v>
      </c>
      <c r="G526" s="47" t="s">
        <v>1103</v>
      </c>
      <c r="H526" s="47" t="s">
        <v>163</v>
      </c>
      <c r="I526" s="47" t="s">
        <v>135</v>
      </c>
      <c r="J526" s="47" t="s">
        <v>45</v>
      </c>
      <c r="K526" s="51">
        <v>29411764.71</v>
      </c>
      <c r="L526" s="47" t="s">
        <v>26</v>
      </c>
      <c r="M526" s="52">
        <f t="shared" si="11"/>
        <v>29411764.71</v>
      </c>
      <c r="N526" s="53">
        <v>0.15</v>
      </c>
      <c r="O526" s="47" t="s">
        <v>1104</v>
      </c>
      <c r="P526" s="47" t="s">
        <v>266</v>
      </c>
      <c r="Q526" s="47" t="s">
        <v>33</v>
      </c>
    </row>
    <row r="527" hidden="1" spans="1:17">
      <c r="A527" s="47" t="s">
        <v>17</v>
      </c>
      <c r="B527" s="48" t="s">
        <v>34</v>
      </c>
      <c r="C527" s="47">
        <v>220483</v>
      </c>
      <c r="D527" s="47" t="s">
        <v>278</v>
      </c>
      <c r="E527" s="47" t="s">
        <v>36</v>
      </c>
      <c r="F527" s="49" t="s">
        <v>279</v>
      </c>
      <c r="G527" s="47" t="s">
        <v>1105</v>
      </c>
      <c r="H527" s="47" t="s">
        <v>134</v>
      </c>
      <c r="I527" s="47" t="s">
        <v>135</v>
      </c>
      <c r="J527" s="47" t="s">
        <v>25</v>
      </c>
      <c r="K527" s="51">
        <v>20000000</v>
      </c>
      <c r="L527" s="47" t="s">
        <v>26</v>
      </c>
      <c r="M527" s="52">
        <f t="shared" si="11"/>
        <v>20000000</v>
      </c>
      <c r="N527" s="53">
        <v>0.15</v>
      </c>
      <c r="O527" s="47" t="s">
        <v>1106</v>
      </c>
      <c r="P527" s="47" t="s">
        <v>170</v>
      </c>
      <c r="Q527" s="47" t="s">
        <v>33</v>
      </c>
    </row>
    <row r="528" hidden="1" spans="1:17">
      <c r="A528" s="47" t="s">
        <v>17</v>
      </c>
      <c r="B528" s="48" t="s">
        <v>103</v>
      </c>
      <c r="C528" s="47">
        <v>223308</v>
      </c>
      <c r="D528" s="47" t="s">
        <v>160</v>
      </c>
      <c r="E528" s="47" t="s">
        <v>117</v>
      </c>
      <c r="F528" s="49" t="s">
        <v>1107</v>
      </c>
      <c r="G528" s="47" t="s">
        <v>1108</v>
      </c>
      <c r="H528" s="47" t="s">
        <v>134</v>
      </c>
      <c r="I528" s="47" t="s">
        <v>135</v>
      </c>
      <c r="J528" s="47" t="s">
        <v>45</v>
      </c>
      <c r="K528" s="51">
        <v>1000000000</v>
      </c>
      <c r="L528" s="47" t="s">
        <v>26</v>
      </c>
      <c r="M528" s="52">
        <f t="shared" si="11"/>
        <v>1000000000</v>
      </c>
      <c r="N528" s="53">
        <v>0.2</v>
      </c>
      <c r="O528" s="47" t="s">
        <v>1106</v>
      </c>
      <c r="P528" s="47" t="s">
        <v>213</v>
      </c>
      <c r="Q528" s="47" t="s">
        <v>100</v>
      </c>
    </row>
    <row r="529" hidden="1" spans="1:17">
      <c r="A529" s="47" t="s">
        <v>17</v>
      </c>
      <c r="B529" s="48" t="s">
        <v>40</v>
      </c>
      <c r="C529" s="47">
        <v>222259</v>
      </c>
      <c r="D529" s="47" t="s">
        <v>210</v>
      </c>
      <c r="E529" s="47" t="s">
        <v>42</v>
      </c>
      <c r="F529" s="49" t="s">
        <v>870</v>
      </c>
      <c r="G529" s="47" t="s">
        <v>1109</v>
      </c>
      <c r="H529" s="47" t="s">
        <v>125</v>
      </c>
      <c r="I529" s="47" t="s">
        <v>135</v>
      </c>
      <c r="J529" s="47" t="s">
        <v>25</v>
      </c>
      <c r="K529" s="51">
        <v>175000000</v>
      </c>
      <c r="L529" s="47" t="s">
        <v>26</v>
      </c>
      <c r="M529" s="52">
        <f t="shared" si="11"/>
        <v>175000000</v>
      </c>
      <c r="N529" s="53">
        <v>0.14286</v>
      </c>
      <c r="O529" s="47" t="s">
        <v>1110</v>
      </c>
      <c r="P529" s="47" t="s">
        <v>501</v>
      </c>
      <c r="Q529" s="47" t="s">
        <v>100</v>
      </c>
    </row>
    <row r="530" hidden="1" spans="1:17">
      <c r="A530" s="47" t="s">
        <v>17</v>
      </c>
      <c r="B530" s="48" t="s">
        <v>40</v>
      </c>
      <c r="C530" s="47">
        <v>216478</v>
      </c>
      <c r="D530" s="47" t="s">
        <v>210</v>
      </c>
      <c r="E530" s="47" t="s">
        <v>42</v>
      </c>
      <c r="F530" s="49" t="s">
        <v>1111</v>
      </c>
      <c r="G530" s="47" t="s">
        <v>1112</v>
      </c>
      <c r="H530" s="47" t="s">
        <v>134</v>
      </c>
      <c r="I530" s="47" t="s">
        <v>135</v>
      </c>
      <c r="J530" s="47" t="s">
        <v>45</v>
      </c>
      <c r="K530" s="51">
        <v>4000000</v>
      </c>
      <c r="L530" s="47" t="s">
        <v>26</v>
      </c>
      <c r="M530" s="52">
        <f t="shared" si="11"/>
        <v>4000000</v>
      </c>
      <c r="N530" s="53">
        <v>0.25</v>
      </c>
      <c r="O530" s="47" t="s">
        <v>1113</v>
      </c>
      <c r="P530" s="47" t="s">
        <v>270</v>
      </c>
      <c r="Q530" s="47" t="s">
        <v>33</v>
      </c>
    </row>
    <row r="531" hidden="1" spans="1:17">
      <c r="A531" s="47" t="s">
        <v>17</v>
      </c>
      <c r="B531" s="48" t="s">
        <v>34</v>
      </c>
      <c r="C531" s="47">
        <v>220737</v>
      </c>
      <c r="D531" s="47" t="s">
        <v>35</v>
      </c>
      <c r="E531" s="47" t="s">
        <v>36</v>
      </c>
      <c r="F531" s="49" t="s">
        <v>216</v>
      </c>
      <c r="G531" s="47" t="s">
        <v>1114</v>
      </c>
      <c r="H531" s="47" t="s">
        <v>134</v>
      </c>
      <c r="I531" s="47" t="s">
        <v>135</v>
      </c>
      <c r="J531" s="47" t="s">
        <v>25</v>
      </c>
      <c r="K531" s="51">
        <v>0</v>
      </c>
      <c r="L531" s="47" t="s">
        <v>26</v>
      </c>
      <c r="M531" s="52">
        <f t="shared" si="11"/>
        <v>0</v>
      </c>
      <c r="N531" s="54"/>
      <c r="O531" s="47" t="s">
        <v>1113</v>
      </c>
      <c r="P531" s="47" t="s">
        <v>219</v>
      </c>
      <c r="Q531" s="47" t="s">
        <v>100</v>
      </c>
    </row>
    <row r="532" hidden="1" spans="1:17">
      <c r="A532" s="47" t="s">
        <v>17</v>
      </c>
      <c r="B532" s="48" t="s">
        <v>34</v>
      </c>
      <c r="C532" s="47">
        <v>220519</v>
      </c>
      <c r="D532" s="47" t="s">
        <v>738</v>
      </c>
      <c r="E532" s="47" t="s">
        <v>621</v>
      </c>
      <c r="F532" s="49" t="s">
        <v>739</v>
      </c>
      <c r="G532" s="47" t="s">
        <v>1115</v>
      </c>
      <c r="H532" s="47" t="s">
        <v>163</v>
      </c>
      <c r="I532" s="47" t="s">
        <v>135</v>
      </c>
      <c r="J532" s="47" t="s">
        <v>741</v>
      </c>
      <c r="K532" s="51">
        <v>50000000</v>
      </c>
      <c r="L532" s="47" t="s">
        <v>26</v>
      </c>
      <c r="M532" s="52">
        <f t="shared" si="11"/>
        <v>50000000</v>
      </c>
      <c r="N532" s="53">
        <v>0.3</v>
      </c>
      <c r="O532" s="47" t="s">
        <v>1116</v>
      </c>
      <c r="P532" s="47" t="s">
        <v>170</v>
      </c>
      <c r="Q532" s="47" t="s">
        <v>33</v>
      </c>
    </row>
    <row r="533" hidden="1" spans="1:17">
      <c r="A533" s="47" t="s">
        <v>17</v>
      </c>
      <c r="B533" s="48" t="s">
        <v>103</v>
      </c>
      <c r="C533" s="47">
        <v>223622</v>
      </c>
      <c r="D533" s="47" t="s">
        <v>435</v>
      </c>
      <c r="E533" s="47" t="s">
        <v>105</v>
      </c>
      <c r="F533" s="49" t="s">
        <v>436</v>
      </c>
      <c r="G533" s="47" t="s">
        <v>1117</v>
      </c>
      <c r="H533" s="47" t="s">
        <v>163</v>
      </c>
      <c r="I533" s="47" t="s">
        <v>135</v>
      </c>
      <c r="J533" s="47" t="s">
        <v>73</v>
      </c>
      <c r="K533" s="51">
        <v>20250000</v>
      </c>
      <c r="L533" s="47" t="s">
        <v>26</v>
      </c>
      <c r="M533" s="52">
        <f t="shared" si="11"/>
        <v>20250000</v>
      </c>
      <c r="N533" s="53">
        <v>0.11</v>
      </c>
      <c r="O533" s="47" t="s">
        <v>1116</v>
      </c>
      <c r="P533" s="47" t="s">
        <v>63</v>
      </c>
      <c r="Q533" s="47" t="s">
        <v>29</v>
      </c>
    </row>
    <row r="534" hidden="1" spans="1:17">
      <c r="A534" s="47" t="s">
        <v>17</v>
      </c>
      <c r="B534" s="48" t="s">
        <v>103</v>
      </c>
      <c r="C534" s="47">
        <v>220374</v>
      </c>
      <c r="D534" s="47" t="s">
        <v>435</v>
      </c>
      <c r="E534" s="47" t="s">
        <v>105</v>
      </c>
      <c r="F534" s="49" t="s">
        <v>888</v>
      </c>
      <c r="G534" s="47" t="s">
        <v>1118</v>
      </c>
      <c r="H534" s="47" t="s">
        <v>163</v>
      </c>
      <c r="I534" s="47" t="s">
        <v>135</v>
      </c>
      <c r="J534" s="47" t="s">
        <v>25</v>
      </c>
      <c r="K534" s="51">
        <v>5555555.56</v>
      </c>
      <c r="L534" s="47" t="s">
        <v>26</v>
      </c>
      <c r="M534" s="52">
        <f t="shared" si="11"/>
        <v>5555555.56</v>
      </c>
      <c r="N534" s="53">
        <v>0.1</v>
      </c>
      <c r="O534" s="47" t="s">
        <v>1119</v>
      </c>
      <c r="P534" s="47" t="s">
        <v>32</v>
      </c>
      <c r="Q534" s="47" t="s">
        <v>29</v>
      </c>
    </row>
    <row r="535" hidden="1" spans="1:17">
      <c r="A535" s="47" t="s">
        <v>17</v>
      </c>
      <c r="B535" s="48" t="s">
        <v>34</v>
      </c>
      <c r="C535" s="47">
        <v>220531</v>
      </c>
      <c r="D535" s="47" t="s">
        <v>35</v>
      </c>
      <c r="E535" s="47" t="s">
        <v>36</v>
      </c>
      <c r="F535" s="49" t="s">
        <v>216</v>
      </c>
      <c r="G535" s="47" t="s">
        <v>1120</v>
      </c>
      <c r="H535" s="47" t="s">
        <v>134</v>
      </c>
      <c r="I535" s="47" t="s">
        <v>135</v>
      </c>
      <c r="J535" s="47" t="s">
        <v>73</v>
      </c>
      <c r="K535" s="51">
        <v>6000000.00024</v>
      </c>
      <c r="L535" s="47" t="s">
        <v>26</v>
      </c>
      <c r="M535" s="52">
        <f t="shared" si="11"/>
        <v>6000000.00024</v>
      </c>
      <c r="N535" s="53">
        <v>0.16667</v>
      </c>
      <c r="O535" s="47" t="s">
        <v>1119</v>
      </c>
      <c r="P535" s="47" t="s">
        <v>226</v>
      </c>
      <c r="Q535" s="47" t="s">
        <v>29</v>
      </c>
    </row>
    <row r="536" hidden="1" spans="1:17">
      <c r="A536" s="47" t="s">
        <v>17</v>
      </c>
      <c r="B536" s="48" t="s">
        <v>103</v>
      </c>
      <c r="C536" s="47">
        <v>221865</v>
      </c>
      <c r="D536" s="47" t="s">
        <v>435</v>
      </c>
      <c r="E536" s="47" t="s">
        <v>105</v>
      </c>
      <c r="F536" s="49" t="s">
        <v>497</v>
      </c>
      <c r="G536" s="47" t="s">
        <v>1121</v>
      </c>
      <c r="H536" s="47" t="s">
        <v>134</v>
      </c>
      <c r="I536" s="47" t="s">
        <v>135</v>
      </c>
      <c r="J536" s="47" t="s">
        <v>25</v>
      </c>
      <c r="K536" s="51">
        <v>4500000</v>
      </c>
      <c r="L536" s="47" t="s">
        <v>26</v>
      </c>
      <c r="M536" s="52">
        <f t="shared" si="11"/>
        <v>4500000</v>
      </c>
      <c r="N536" s="53">
        <v>0.1</v>
      </c>
      <c r="O536" s="47" t="s">
        <v>1119</v>
      </c>
      <c r="P536" s="47" t="s">
        <v>367</v>
      </c>
      <c r="Q536" s="47" t="s">
        <v>209</v>
      </c>
    </row>
    <row r="537" hidden="1" spans="1:17">
      <c r="A537" s="47" t="s">
        <v>17</v>
      </c>
      <c r="B537" s="48" t="s">
        <v>34</v>
      </c>
      <c r="C537" s="47">
        <v>223167</v>
      </c>
      <c r="D537" s="47" t="s">
        <v>35</v>
      </c>
      <c r="E537" s="47" t="s">
        <v>36</v>
      </c>
      <c r="F537" s="49" t="s">
        <v>216</v>
      </c>
      <c r="G537" s="47" t="s">
        <v>1122</v>
      </c>
      <c r="H537" s="47" t="s">
        <v>134</v>
      </c>
      <c r="I537" s="47" t="s">
        <v>135</v>
      </c>
      <c r="J537" s="47" t="s">
        <v>25</v>
      </c>
      <c r="K537" s="51">
        <v>39772727.27</v>
      </c>
      <c r="L537" s="47" t="s">
        <v>26</v>
      </c>
      <c r="M537" s="52">
        <f t="shared" si="11"/>
        <v>39772727.27</v>
      </c>
      <c r="N537" s="53">
        <v>0.12</v>
      </c>
      <c r="O537" s="47" t="s">
        <v>1119</v>
      </c>
      <c r="P537" s="47" t="s">
        <v>39</v>
      </c>
      <c r="Q537" s="47" t="s">
        <v>33</v>
      </c>
    </row>
    <row r="538" hidden="1" spans="1:17">
      <c r="A538" s="47" t="s">
        <v>17</v>
      </c>
      <c r="B538" s="48" t="s">
        <v>34</v>
      </c>
      <c r="C538" s="47">
        <v>220474</v>
      </c>
      <c r="D538" s="47" t="s">
        <v>278</v>
      </c>
      <c r="E538" s="47" t="s">
        <v>36</v>
      </c>
      <c r="F538" s="49" t="s">
        <v>557</v>
      </c>
      <c r="G538" s="47" t="s">
        <v>1123</v>
      </c>
      <c r="H538" s="47" t="s">
        <v>163</v>
      </c>
      <c r="I538" s="47" t="s">
        <v>135</v>
      </c>
      <c r="J538" s="47" t="s">
        <v>25</v>
      </c>
      <c r="K538" s="51">
        <v>29999999.9988462</v>
      </c>
      <c r="L538" s="47" t="s">
        <v>26</v>
      </c>
      <c r="M538" s="52">
        <f t="shared" si="11"/>
        <v>29999999.9988462</v>
      </c>
      <c r="N538" s="53">
        <v>0.13333</v>
      </c>
      <c r="O538" s="47" t="s">
        <v>1124</v>
      </c>
      <c r="P538" s="47" t="s">
        <v>170</v>
      </c>
      <c r="Q538" s="47" t="s">
        <v>29</v>
      </c>
    </row>
    <row r="539" hidden="1" spans="1:17">
      <c r="A539" s="47" t="s">
        <v>17</v>
      </c>
      <c r="B539" s="48" t="s">
        <v>34</v>
      </c>
      <c r="C539" s="47">
        <v>220460</v>
      </c>
      <c r="D539" s="47" t="s">
        <v>278</v>
      </c>
      <c r="E539" s="47" t="s">
        <v>36</v>
      </c>
      <c r="F539" s="49" t="s">
        <v>668</v>
      </c>
      <c r="G539" s="47" t="s">
        <v>1125</v>
      </c>
      <c r="H539" s="47" t="s">
        <v>134</v>
      </c>
      <c r="I539" s="47" t="s">
        <v>135</v>
      </c>
      <c r="J539" s="47" t="s">
        <v>25</v>
      </c>
      <c r="K539" s="51">
        <v>5000000</v>
      </c>
      <c r="L539" s="47" t="s">
        <v>26</v>
      </c>
      <c r="M539" s="52">
        <f t="shared" si="11"/>
        <v>5000000</v>
      </c>
      <c r="N539" s="53">
        <v>0.1</v>
      </c>
      <c r="O539" s="47" t="s">
        <v>1124</v>
      </c>
      <c r="P539" s="47" t="s">
        <v>170</v>
      </c>
      <c r="Q539" s="47" t="s">
        <v>33</v>
      </c>
    </row>
    <row r="540" hidden="1" spans="1:17">
      <c r="A540" s="47" t="s">
        <v>17</v>
      </c>
      <c r="B540" s="48" t="s">
        <v>34</v>
      </c>
      <c r="C540" s="47">
        <v>220461</v>
      </c>
      <c r="D540" s="47" t="s">
        <v>278</v>
      </c>
      <c r="E540" s="47" t="s">
        <v>36</v>
      </c>
      <c r="F540" s="49" t="s">
        <v>668</v>
      </c>
      <c r="G540" s="47" t="s">
        <v>1126</v>
      </c>
      <c r="H540" s="47" t="s">
        <v>134</v>
      </c>
      <c r="I540" s="47" t="s">
        <v>135</v>
      </c>
      <c r="J540" s="47" t="s">
        <v>25</v>
      </c>
      <c r="K540" s="51">
        <v>50000000</v>
      </c>
      <c r="L540" s="47" t="s">
        <v>26</v>
      </c>
      <c r="M540" s="52">
        <f t="shared" si="11"/>
        <v>50000000</v>
      </c>
      <c r="N540" s="53">
        <v>0.1</v>
      </c>
      <c r="O540" s="47" t="s">
        <v>1124</v>
      </c>
      <c r="P540" s="47" t="s">
        <v>170</v>
      </c>
      <c r="Q540" s="47" t="s">
        <v>100</v>
      </c>
    </row>
    <row r="541" hidden="1" spans="1:17">
      <c r="A541" s="47" t="s">
        <v>17</v>
      </c>
      <c r="B541" s="48" t="s">
        <v>34</v>
      </c>
      <c r="C541" s="47">
        <v>223251</v>
      </c>
      <c r="D541" s="47" t="s">
        <v>278</v>
      </c>
      <c r="E541" s="47" t="s">
        <v>36</v>
      </c>
      <c r="F541" s="49" t="s">
        <v>668</v>
      </c>
      <c r="G541" s="47" t="s">
        <v>1127</v>
      </c>
      <c r="H541" s="47" t="s">
        <v>134</v>
      </c>
      <c r="I541" s="47" t="s">
        <v>135</v>
      </c>
      <c r="J541" s="47" t="s">
        <v>25</v>
      </c>
      <c r="K541" s="51">
        <v>29069767.44</v>
      </c>
      <c r="L541" s="47" t="s">
        <v>26</v>
      </c>
      <c r="M541" s="52">
        <f t="shared" si="11"/>
        <v>29069767.44</v>
      </c>
      <c r="N541" s="53">
        <v>0.14</v>
      </c>
      <c r="O541" s="47" t="s">
        <v>1124</v>
      </c>
      <c r="P541" s="47" t="s">
        <v>47</v>
      </c>
      <c r="Q541" s="47" t="s">
        <v>33</v>
      </c>
    </row>
    <row r="542" hidden="1" spans="1:17">
      <c r="A542" s="47" t="s">
        <v>17</v>
      </c>
      <c r="B542" s="48" t="s">
        <v>18</v>
      </c>
      <c r="C542" s="47">
        <v>220396</v>
      </c>
      <c r="D542" s="47" t="s">
        <v>747</v>
      </c>
      <c r="E542" s="47" t="s">
        <v>172</v>
      </c>
      <c r="F542" s="49" t="s">
        <v>1128</v>
      </c>
      <c r="G542" s="47" t="s">
        <v>1129</v>
      </c>
      <c r="H542" s="47" t="s">
        <v>163</v>
      </c>
      <c r="I542" s="47" t="s">
        <v>135</v>
      </c>
      <c r="J542" s="47" t="s">
        <v>45</v>
      </c>
      <c r="K542" s="51">
        <v>25000000</v>
      </c>
      <c r="L542" s="47" t="s">
        <v>26</v>
      </c>
      <c r="M542" s="52">
        <f t="shared" si="11"/>
        <v>25000000</v>
      </c>
      <c r="N542" s="53">
        <v>0.1</v>
      </c>
      <c r="O542" s="47" t="s">
        <v>1130</v>
      </c>
      <c r="P542" s="47" t="s">
        <v>32</v>
      </c>
      <c r="Q542" s="47" t="s">
        <v>259</v>
      </c>
    </row>
    <row r="543" hidden="1" spans="1:17">
      <c r="A543" s="47" t="s">
        <v>17</v>
      </c>
      <c r="B543" s="48" t="s">
        <v>34</v>
      </c>
      <c r="C543" s="47">
        <v>223254</v>
      </c>
      <c r="D543" s="47" t="s">
        <v>35</v>
      </c>
      <c r="E543" s="47" t="s">
        <v>36</v>
      </c>
      <c r="F543" s="49" t="s">
        <v>216</v>
      </c>
      <c r="G543" s="47" t="s">
        <v>1131</v>
      </c>
      <c r="H543" s="47" t="s">
        <v>134</v>
      </c>
      <c r="I543" s="47" t="s">
        <v>135</v>
      </c>
      <c r="J543" s="47" t="s">
        <v>25</v>
      </c>
      <c r="K543" s="51">
        <v>10000000</v>
      </c>
      <c r="L543" s="47" t="s">
        <v>26</v>
      </c>
      <c r="M543" s="52">
        <f t="shared" si="11"/>
        <v>10000000</v>
      </c>
      <c r="N543" s="53">
        <v>0.1</v>
      </c>
      <c r="O543" s="47" t="s">
        <v>1132</v>
      </c>
      <c r="P543" s="47" t="s">
        <v>47</v>
      </c>
      <c r="Q543" s="47" t="s">
        <v>209</v>
      </c>
    </row>
    <row r="544" hidden="1" spans="1:17">
      <c r="A544" s="47" t="s">
        <v>17</v>
      </c>
      <c r="B544" s="48" t="s">
        <v>40</v>
      </c>
      <c r="C544" s="47">
        <v>220050</v>
      </c>
      <c r="D544" s="47" t="s">
        <v>210</v>
      </c>
      <c r="E544" s="47" t="s">
        <v>42</v>
      </c>
      <c r="F544" s="49" t="s">
        <v>371</v>
      </c>
      <c r="G544" s="47" t="s">
        <v>1133</v>
      </c>
      <c r="H544" s="47" t="s">
        <v>134</v>
      </c>
      <c r="I544" s="47" t="s">
        <v>135</v>
      </c>
      <c r="J544" s="47" t="s">
        <v>25</v>
      </c>
      <c r="K544" s="51">
        <v>150000000</v>
      </c>
      <c r="L544" s="47" t="s">
        <v>26</v>
      </c>
      <c r="M544" s="52">
        <f t="shared" si="11"/>
        <v>150000000</v>
      </c>
      <c r="N544" s="53">
        <v>0.2</v>
      </c>
      <c r="O544" s="47" t="s">
        <v>1134</v>
      </c>
      <c r="P544" s="47" t="s">
        <v>373</v>
      </c>
      <c r="Q544" s="47" t="s">
        <v>33</v>
      </c>
    </row>
    <row r="545" hidden="1" spans="1:17">
      <c r="A545" s="47" t="s">
        <v>17</v>
      </c>
      <c r="B545" s="48" t="s">
        <v>103</v>
      </c>
      <c r="C545" s="47">
        <v>221843</v>
      </c>
      <c r="D545" s="47" t="s">
        <v>435</v>
      </c>
      <c r="E545" s="47" t="s">
        <v>105</v>
      </c>
      <c r="F545" s="49" t="s">
        <v>466</v>
      </c>
      <c r="G545" s="47" t="s">
        <v>1135</v>
      </c>
      <c r="H545" s="47" t="s">
        <v>134</v>
      </c>
      <c r="I545" s="47" t="s">
        <v>135</v>
      </c>
      <c r="J545" s="47" t="s">
        <v>25</v>
      </c>
      <c r="K545" s="51">
        <v>800000.1</v>
      </c>
      <c r="L545" s="47" t="s">
        <v>26</v>
      </c>
      <c r="M545" s="52">
        <f t="shared" si="11"/>
        <v>800000.1</v>
      </c>
      <c r="N545" s="53">
        <v>0.1</v>
      </c>
      <c r="O545" s="47" t="s">
        <v>1136</v>
      </c>
      <c r="P545" s="47" t="s">
        <v>367</v>
      </c>
      <c r="Q545" s="47" t="s">
        <v>209</v>
      </c>
    </row>
    <row r="546" hidden="1" spans="1:17">
      <c r="A546" s="47" t="s">
        <v>17</v>
      </c>
      <c r="B546" s="48" t="s">
        <v>40</v>
      </c>
      <c r="C546" s="47">
        <v>221315</v>
      </c>
      <c r="D546" s="47" t="s">
        <v>122</v>
      </c>
      <c r="E546" s="47" t="s">
        <v>42</v>
      </c>
      <c r="F546" s="49" t="s">
        <v>1137</v>
      </c>
      <c r="G546" s="47" t="s">
        <v>1138</v>
      </c>
      <c r="H546" s="47" t="s">
        <v>134</v>
      </c>
      <c r="I546" s="47" t="s">
        <v>135</v>
      </c>
      <c r="J546" s="47" t="s">
        <v>45</v>
      </c>
      <c r="K546" s="51">
        <v>76470588.24</v>
      </c>
      <c r="L546" s="47" t="s">
        <v>26</v>
      </c>
      <c r="M546" s="52">
        <f t="shared" si="11"/>
        <v>76470588.24</v>
      </c>
      <c r="N546" s="53">
        <v>0.15</v>
      </c>
      <c r="O546" s="47" t="s">
        <v>1139</v>
      </c>
      <c r="P546" s="47" t="s">
        <v>155</v>
      </c>
      <c r="Q546" s="47" t="s">
        <v>33</v>
      </c>
    </row>
    <row r="547" hidden="1" spans="1:17">
      <c r="A547" s="47" t="s">
        <v>17</v>
      </c>
      <c r="B547" s="48" t="s">
        <v>40</v>
      </c>
      <c r="C547" s="47">
        <v>221319</v>
      </c>
      <c r="D547" s="47" t="s">
        <v>122</v>
      </c>
      <c r="E547" s="47" t="s">
        <v>42</v>
      </c>
      <c r="F547" s="49" t="s">
        <v>1140</v>
      </c>
      <c r="G547" s="47" t="s">
        <v>1141</v>
      </c>
      <c r="H547" s="47" t="s">
        <v>134</v>
      </c>
      <c r="I547" s="47" t="s">
        <v>135</v>
      </c>
      <c r="J547" s="47" t="s">
        <v>45</v>
      </c>
      <c r="K547" s="51">
        <v>82352941.18</v>
      </c>
      <c r="L547" s="47" t="s">
        <v>26</v>
      </c>
      <c r="M547" s="52">
        <f t="shared" si="11"/>
        <v>82352941.18</v>
      </c>
      <c r="N547" s="53">
        <v>0.15</v>
      </c>
      <c r="O547" s="47" t="s">
        <v>1139</v>
      </c>
      <c r="P547" s="47" t="s">
        <v>155</v>
      </c>
      <c r="Q547" s="47" t="s">
        <v>33</v>
      </c>
    </row>
    <row r="548" hidden="1" spans="1:17">
      <c r="A548" s="47" t="s">
        <v>17</v>
      </c>
      <c r="B548" s="48" t="s">
        <v>68</v>
      </c>
      <c r="C548" s="47">
        <v>222687</v>
      </c>
      <c r="D548" s="47" t="s">
        <v>69</v>
      </c>
      <c r="E548" s="47" t="s">
        <v>70</v>
      </c>
      <c r="F548" s="49" t="s">
        <v>184</v>
      </c>
      <c r="G548" s="47" t="s">
        <v>1142</v>
      </c>
      <c r="H548" s="47" t="s">
        <v>163</v>
      </c>
      <c r="I548" s="47" t="s">
        <v>135</v>
      </c>
      <c r="J548" s="47" t="s">
        <v>25</v>
      </c>
      <c r="K548" s="51">
        <v>7000000</v>
      </c>
      <c r="L548" s="47" t="s">
        <v>26</v>
      </c>
      <c r="M548" s="52">
        <f t="shared" ref="M548:M567" si="12">K548</f>
        <v>7000000</v>
      </c>
      <c r="N548" s="53">
        <v>0.12857</v>
      </c>
      <c r="O548" s="47" t="s">
        <v>1143</v>
      </c>
      <c r="P548" s="47" t="s">
        <v>183</v>
      </c>
      <c r="Q548" s="47" t="s">
        <v>33</v>
      </c>
    </row>
    <row r="549" hidden="1" spans="1:17">
      <c r="A549" s="47" t="s">
        <v>17</v>
      </c>
      <c r="B549" s="48" t="s">
        <v>103</v>
      </c>
      <c r="C549" s="47">
        <v>223316</v>
      </c>
      <c r="D549" s="47" t="s">
        <v>116</v>
      </c>
      <c r="E549" s="47" t="s">
        <v>117</v>
      </c>
      <c r="F549" s="49" t="s">
        <v>546</v>
      </c>
      <c r="G549" s="47" t="s">
        <v>1144</v>
      </c>
      <c r="H549" s="47" t="s">
        <v>134</v>
      </c>
      <c r="I549" s="47" t="s">
        <v>135</v>
      </c>
      <c r="J549" s="47" t="s">
        <v>25</v>
      </c>
      <c r="K549" s="51">
        <v>250000000</v>
      </c>
      <c r="L549" s="47" t="s">
        <v>26</v>
      </c>
      <c r="M549" s="52">
        <f t="shared" si="12"/>
        <v>250000000</v>
      </c>
      <c r="N549" s="53">
        <v>0.12</v>
      </c>
      <c r="O549" s="47" t="s">
        <v>1143</v>
      </c>
      <c r="P549" s="47" t="s">
        <v>213</v>
      </c>
      <c r="Q549" s="47" t="s">
        <v>33</v>
      </c>
    </row>
    <row r="550" hidden="1" spans="1:17">
      <c r="A550" s="47" t="s">
        <v>17</v>
      </c>
      <c r="B550" s="48" t="s">
        <v>40</v>
      </c>
      <c r="C550" s="47">
        <v>220753</v>
      </c>
      <c r="D550" s="47" t="s">
        <v>210</v>
      </c>
      <c r="E550" s="47" t="s">
        <v>42</v>
      </c>
      <c r="F550" s="49" t="s">
        <v>1145</v>
      </c>
      <c r="G550" s="47" t="s">
        <v>1146</v>
      </c>
      <c r="H550" s="47" t="s">
        <v>163</v>
      </c>
      <c r="I550" s="47" t="s">
        <v>135</v>
      </c>
      <c r="J550" s="47" t="s">
        <v>45</v>
      </c>
      <c r="K550" s="51">
        <v>2500000</v>
      </c>
      <c r="L550" s="47" t="s">
        <v>26</v>
      </c>
      <c r="M550" s="52">
        <f t="shared" si="12"/>
        <v>2500000</v>
      </c>
      <c r="N550" s="53">
        <v>0.2</v>
      </c>
      <c r="O550" s="47" t="s">
        <v>1147</v>
      </c>
      <c r="P550" s="47" t="s">
        <v>219</v>
      </c>
      <c r="Q550" s="47" t="s">
        <v>29</v>
      </c>
    </row>
    <row r="551" hidden="1" spans="1:17">
      <c r="A551" s="47" t="s">
        <v>17</v>
      </c>
      <c r="B551" s="48" t="s">
        <v>103</v>
      </c>
      <c r="C551" s="47">
        <v>223686</v>
      </c>
      <c r="D551" s="47" t="s">
        <v>116</v>
      </c>
      <c r="E551" s="47" t="s">
        <v>117</v>
      </c>
      <c r="F551" s="49" t="s">
        <v>118</v>
      </c>
      <c r="G551" s="47" t="s">
        <v>1148</v>
      </c>
      <c r="H551" s="47" t="s">
        <v>134</v>
      </c>
      <c r="I551" s="47" t="s">
        <v>135</v>
      </c>
      <c r="J551" s="47" t="s">
        <v>25</v>
      </c>
      <c r="K551" s="51">
        <v>35000000.0005645</v>
      </c>
      <c r="L551" s="47" t="s">
        <v>26</v>
      </c>
      <c r="M551" s="52">
        <f t="shared" si="12"/>
        <v>35000000.0005645</v>
      </c>
      <c r="N551" s="53">
        <v>0.11429</v>
      </c>
      <c r="O551" s="47" t="s">
        <v>1149</v>
      </c>
      <c r="P551" s="47" t="s">
        <v>63</v>
      </c>
      <c r="Q551" s="47" t="s">
        <v>33</v>
      </c>
    </row>
    <row r="552" hidden="1" spans="1:17">
      <c r="A552" s="47" t="s">
        <v>17</v>
      </c>
      <c r="B552" s="48" t="s">
        <v>34</v>
      </c>
      <c r="C552" s="47">
        <v>221317</v>
      </c>
      <c r="D552" s="47" t="s">
        <v>621</v>
      </c>
      <c r="E552" s="47" t="s">
        <v>49</v>
      </c>
      <c r="F552" s="49" t="s">
        <v>1150</v>
      </c>
      <c r="G552" s="47" t="s">
        <v>1151</v>
      </c>
      <c r="H552" s="47" t="s">
        <v>134</v>
      </c>
      <c r="I552" s="47" t="s">
        <v>135</v>
      </c>
      <c r="J552" s="47" t="s">
        <v>741</v>
      </c>
      <c r="K552" s="51">
        <v>40000000.00144</v>
      </c>
      <c r="L552" s="47" t="s">
        <v>26</v>
      </c>
      <c r="M552" s="52">
        <f t="shared" si="12"/>
        <v>40000000.00144</v>
      </c>
      <c r="N552" s="53">
        <v>0.17</v>
      </c>
      <c r="O552" s="47" t="s">
        <v>1152</v>
      </c>
      <c r="P552" s="47" t="s">
        <v>155</v>
      </c>
      <c r="Q552" s="47" t="s">
        <v>33</v>
      </c>
    </row>
    <row r="553" hidden="1" spans="1:17">
      <c r="A553" s="47" t="s">
        <v>17</v>
      </c>
      <c r="B553" s="48" t="s">
        <v>34</v>
      </c>
      <c r="C553" s="47">
        <v>220683</v>
      </c>
      <c r="D553" s="47" t="s">
        <v>738</v>
      </c>
      <c r="E553" s="47" t="s">
        <v>621</v>
      </c>
      <c r="F553" s="49" t="s">
        <v>1153</v>
      </c>
      <c r="G553" s="47" t="s">
        <v>1154</v>
      </c>
      <c r="H553" s="47" t="s">
        <v>134</v>
      </c>
      <c r="I553" s="47" t="s">
        <v>135</v>
      </c>
      <c r="J553" s="47" t="s">
        <v>741</v>
      </c>
      <c r="K553" s="51">
        <v>14999999.99925</v>
      </c>
      <c r="L553" s="47" t="s">
        <v>26</v>
      </c>
      <c r="M553" s="52">
        <f t="shared" si="12"/>
        <v>14999999.99925</v>
      </c>
      <c r="N553" s="53">
        <v>0.33333</v>
      </c>
      <c r="O553" s="47" t="s">
        <v>1155</v>
      </c>
      <c r="P553" s="47" t="s">
        <v>240</v>
      </c>
      <c r="Q553" s="47" t="s">
        <v>29</v>
      </c>
    </row>
    <row r="554" hidden="1" spans="1:17">
      <c r="A554" s="47" t="s">
        <v>17</v>
      </c>
      <c r="B554" s="48" t="s">
        <v>18</v>
      </c>
      <c r="C554" s="47">
        <v>223065</v>
      </c>
      <c r="D554" s="47" t="s">
        <v>1156</v>
      </c>
      <c r="E554" s="47" t="s">
        <v>20</v>
      </c>
      <c r="F554" s="49" t="s">
        <v>1157</v>
      </c>
      <c r="G554" s="47" t="s">
        <v>1158</v>
      </c>
      <c r="H554" s="47" t="s">
        <v>134</v>
      </c>
      <c r="I554" s="47" t="s">
        <v>135</v>
      </c>
      <c r="J554" s="47" t="s">
        <v>25</v>
      </c>
      <c r="K554" s="51">
        <v>106417645.001125</v>
      </c>
      <c r="L554" s="47" t="s">
        <v>26</v>
      </c>
      <c r="M554" s="52">
        <f t="shared" si="12"/>
        <v>106417645.001125</v>
      </c>
      <c r="N554" s="53">
        <v>0.25926</v>
      </c>
      <c r="O554" s="47" t="s">
        <v>1155</v>
      </c>
      <c r="P554" s="47" t="s">
        <v>307</v>
      </c>
      <c r="Q554" s="47" t="s">
        <v>100</v>
      </c>
    </row>
    <row r="555" hidden="1" spans="1:17">
      <c r="A555" s="47" t="s">
        <v>17</v>
      </c>
      <c r="B555" s="48" t="s">
        <v>103</v>
      </c>
      <c r="C555" s="47">
        <v>223317</v>
      </c>
      <c r="D555" s="47" t="s">
        <v>116</v>
      </c>
      <c r="E555" s="47" t="s">
        <v>117</v>
      </c>
      <c r="F555" s="49" t="s">
        <v>546</v>
      </c>
      <c r="G555" s="47" t="s">
        <v>1159</v>
      </c>
      <c r="H555" s="47" t="s">
        <v>134</v>
      </c>
      <c r="I555" s="47" t="s">
        <v>135</v>
      </c>
      <c r="J555" s="47" t="s">
        <v>25</v>
      </c>
      <c r="K555" s="51">
        <v>250000000</v>
      </c>
      <c r="L555" s="47" t="s">
        <v>26</v>
      </c>
      <c r="M555" s="52">
        <f t="shared" si="12"/>
        <v>250000000</v>
      </c>
      <c r="N555" s="53">
        <v>0.1</v>
      </c>
      <c r="O555" s="47" t="s">
        <v>1155</v>
      </c>
      <c r="P555" s="47" t="s">
        <v>213</v>
      </c>
      <c r="Q555" s="47" t="s">
        <v>33</v>
      </c>
    </row>
    <row r="556" hidden="1" spans="1:17">
      <c r="A556" s="47" t="s">
        <v>17</v>
      </c>
      <c r="B556" s="48" t="s">
        <v>34</v>
      </c>
      <c r="C556" s="47">
        <v>220428</v>
      </c>
      <c r="D556" s="47" t="s">
        <v>738</v>
      </c>
      <c r="E556" s="47" t="s">
        <v>621</v>
      </c>
      <c r="F556" s="49" t="s">
        <v>1153</v>
      </c>
      <c r="G556" s="47" t="s">
        <v>1160</v>
      </c>
      <c r="H556" s="47" t="s">
        <v>134</v>
      </c>
      <c r="I556" s="47" t="s">
        <v>135</v>
      </c>
      <c r="J556" s="47" t="s">
        <v>741</v>
      </c>
      <c r="K556" s="51">
        <v>15000000</v>
      </c>
      <c r="L556" s="47" t="s">
        <v>26</v>
      </c>
      <c r="M556" s="52">
        <f t="shared" si="12"/>
        <v>15000000</v>
      </c>
      <c r="N556" s="53">
        <v>0.2</v>
      </c>
      <c r="O556" s="47" t="s">
        <v>1161</v>
      </c>
      <c r="P556" s="47" t="s">
        <v>170</v>
      </c>
      <c r="Q556" s="47" t="s">
        <v>29</v>
      </c>
    </row>
    <row r="557" hidden="1" spans="1:17">
      <c r="A557" s="47" t="s">
        <v>17</v>
      </c>
      <c r="B557" s="48" t="s">
        <v>34</v>
      </c>
      <c r="C557" s="47">
        <v>220520</v>
      </c>
      <c r="D557" s="47" t="s">
        <v>738</v>
      </c>
      <c r="E557" s="47" t="s">
        <v>621</v>
      </c>
      <c r="F557" s="49" t="s">
        <v>1153</v>
      </c>
      <c r="G557" s="47" t="s">
        <v>1162</v>
      </c>
      <c r="H557" s="47" t="s">
        <v>134</v>
      </c>
      <c r="I557" s="47" t="s">
        <v>135</v>
      </c>
      <c r="J557" s="47" t="s">
        <v>741</v>
      </c>
      <c r="K557" s="51">
        <v>92857142.59</v>
      </c>
      <c r="L557" s="47" t="s">
        <v>26</v>
      </c>
      <c r="M557" s="52">
        <f t="shared" si="12"/>
        <v>92857142.59</v>
      </c>
      <c r="N557" s="53">
        <v>0.19231</v>
      </c>
      <c r="O557" s="47" t="s">
        <v>1161</v>
      </c>
      <c r="P557" s="47" t="s">
        <v>170</v>
      </c>
      <c r="Q557" s="47" t="s">
        <v>65</v>
      </c>
    </row>
    <row r="558" hidden="1" spans="1:17">
      <c r="A558" s="48" t="s">
        <v>17</v>
      </c>
      <c r="B558" s="48" t="s">
        <v>18</v>
      </c>
      <c r="C558" s="47">
        <v>208504</v>
      </c>
      <c r="D558" s="47" t="s">
        <v>171</v>
      </c>
      <c r="E558" s="47" t="s">
        <v>172</v>
      </c>
      <c r="F558" s="49" t="s">
        <v>1066</v>
      </c>
      <c r="G558" s="47" t="s">
        <v>1163</v>
      </c>
      <c r="H558" s="47" t="s">
        <v>134</v>
      </c>
      <c r="I558" s="47" t="s">
        <v>135</v>
      </c>
      <c r="J558" s="47" t="s">
        <v>25</v>
      </c>
      <c r="K558" s="51">
        <v>15000000</v>
      </c>
      <c r="L558" s="47" t="s">
        <v>26</v>
      </c>
      <c r="M558" s="52">
        <f t="shared" si="12"/>
        <v>15000000</v>
      </c>
      <c r="N558" s="53">
        <v>0.2</v>
      </c>
      <c r="O558" s="47" t="s">
        <v>1164</v>
      </c>
      <c r="P558" s="47" t="s">
        <v>1069</v>
      </c>
      <c r="Q558" s="47" t="s">
        <v>29</v>
      </c>
    </row>
    <row r="559" hidden="1" spans="1:17">
      <c r="A559" s="48" t="s">
        <v>17</v>
      </c>
      <c r="B559" s="47" t="s">
        <v>241</v>
      </c>
      <c r="C559" s="47">
        <v>209522</v>
      </c>
      <c r="D559" s="47" t="s">
        <v>116</v>
      </c>
      <c r="E559" s="47" t="s">
        <v>117</v>
      </c>
      <c r="F559" s="49" t="s">
        <v>1165</v>
      </c>
      <c r="G559" s="47" t="s">
        <v>1166</v>
      </c>
      <c r="H559" s="47" t="s">
        <v>134</v>
      </c>
      <c r="I559" s="47" t="s">
        <v>135</v>
      </c>
      <c r="J559" s="47" t="s">
        <v>25</v>
      </c>
      <c r="K559" s="51">
        <v>133333333.33</v>
      </c>
      <c r="L559" s="47" t="s">
        <v>26</v>
      </c>
      <c r="M559" s="52">
        <f t="shared" si="12"/>
        <v>133333333.33</v>
      </c>
      <c r="N559" s="53">
        <v>0.1</v>
      </c>
      <c r="O559" s="47" t="s">
        <v>1164</v>
      </c>
      <c r="P559" s="47" t="s">
        <v>489</v>
      </c>
      <c r="Q559" s="47" t="s">
        <v>29</v>
      </c>
    </row>
    <row r="560" hidden="1" spans="1:17">
      <c r="A560" s="47" t="s">
        <v>17</v>
      </c>
      <c r="B560" s="48" t="s">
        <v>68</v>
      </c>
      <c r="C560" s="47">
        <v>220026</v>
      </c>
      <c r="D560" s="47" t="s">
        <v>632</v>
      </c>
      <c r="E560" s="47" t="s">
        <v>70</v>
      </c>
      <c r="F560" s="49" t="s">
        <v>1021</v>
      </c>
      <c r="G560" s="47" t="s">
        <v>1167</v>
      </c>
      <c r="H560" s="47" t="s">
        <v>134</v>
      </c>
      <c r="I560" s="47" t="s">
        <v>135</v>
      </c>
      <c r="J560" s="47" t="s">
        <v>25</v>
      </c>
      <c r="K560" s="51">
        <v>200000000</v>
      </c>
      <c r="L560" s="47" t="s">
        <v>26</v>
      </c>
      <c r="M560" s="52">
        <f t="shared" si="12"/>
        <v>200000000</v>
      </c>
      <c r="N560" s="53">
        <v>0.1</v>
      </c>
      <c r="O560" s="47" t="s">
        <v>1164</v>
      </c>
      <c r="P560" s="47" t="s">
        <v>373</v>
      </c>
      <c r="Q560" s="47" t="s">
        <v>29</v>
      </c>
    </row>
    <row r="561" hidden="1" spans="1:17">
      <c r="A561" s="47" t="s">
        <v>17</v>
      </c>
      <c r="B561" s="48" t="s">
        <v>18</v>
      </c>
      <c r="C561" s="47">
        <v>222265</v>
      </c>
      <c r="D561" s="47" t="s">
        <v>171</v>
      </c>
      <c r="E561" s="47" t="s">
        <v>172</v>
      </c>
      <c r="F561" s="49" t="s">
        <v>1168</v>
      </c>
      <c r="G561" s="47" t="s">
        <v>1169</v>
      </c>
      <c r="H561" s="47" t="s">
        <v>134</v>
      </c>
      <c r="I561" s="47" t="s">
        <v>135</v>
      </c>
      <c r="J561" s="47" t="s">
        <v>25</v>
      </c>
      <c r="K561" s="51">
        <v>120000000</v>
      </c>
      <c r="L561" s="47" t="s">
        <v>26</v>
      </c>
      <c r="M561" s="52">
        <f t="shared" si="12"/>
        <v>120000000</v>
      </c>
      <c r="N561" s="53">
        <v>0.2</v>
      </c>
      <c r="O561" s="47" t="s">
        <v>1164</v>
      </c>
      <c r="P561" s="47" t="s">
        <v>501</v>
      </c>
      <c r="Q561" s="47" t="s">
        <v>100</v>
      </c>
    </row>
    <row r="562" hidden="1" spans="1:17">
      <c r="A562" s="47" t="s">
        <v>17</v>
      </c>
      <c r="B562" s="48" t="s">
        <v>40</v>
      </c>
      <c r="C562" s="47">
        <v>221316</v>
      </c>
      <c r="D562" s="47" t="s">
        <v>122</v>
      </c>
      <c r="E562" s="47" t="s">
        <v>42</v>
      </c>
      <c r="F562" s="49" t="s">
        <v>1170</v>
      </c>
      <c r="G562" s="47" t="s">
        <v>1171</v>
      </c>
      <c r="H562" s="47" t="s">
        <v>134</v>
      </c>
      <c r="I562" s="47" t="s">
        <v>135</v>
      </c>
      <c r="J562" s="47" t="s">
        <v>45</v>
      </c>
      <c r="K562" s="51">
        <v>94117647.06</v>
      </c>
      <c r="L562" s="47" t="s">
        <v>26</v>
      </c>
      <c r="M562" s="52">
        <f t="shared" si="12"/>
        <v>94117647.06</v>
      </c>
      <c r="N562" s="53">
        <v>0.15</v>
      </c>
      <c r="O562" s="47" t="s">
        <v>1172</v>
      </c>
      <c r="P562" s="47" t="s">
        <v>155</v>
      </c>
      <c r="Q562" s="47" t="s">
        <v>259</v>
      </c>
    </row>
    <row r="563" hidden="1" spans="1:17">
      <c r="A563" s="47" t="s">
        <v>17</v>
      </c>
      <c r="B563" s="48" t="s">
        <v>68</v>
      </c>
      <c r="C563" s="47">
        <v>220398</v>
      </c>
      <c r="D563" s="47" t="s">
        <v>632</v>
      </c>
      <c r="E563" s="47" t="s">
        <v>70</v>
      </c>
      <c r="F563" s="49" t="s">
        <v>937</v>
      </c>
      <c r="G563" s="47" t="s">
        <v>1173</v>
      </c>
      <c r="H563" s="47" t="s">
        <v>134</v>
      </c>
      <c r="I563" s="47" t="s">
        <v>135</v>
      </c>
      <c r="J563" s="47" t="s">
        <v>25</v>
      </c>
      <c r="K563" s="51">
        <v>22727272.73</v>
      </c>
      <c r="L563" s="47" t="s">
        <v>26</v>
      </c>
      <c r="M563" s="52">
        <f t="shared" si="12"/>
        <v>22727272.73</v>
      </c>
      <c r="N563" s="53">
        <v>0.12</v>
      </c>
      <c r="O563" s="47" t="s">
        <v>1174</v>
      </c>
      <c r="P563" s="47" t="s">
        <v>32</v>
      </c>
      <c r="Q563" s="47" t="s">
        <v>29</v>
      </c>
    </row>
    <row r="564" hidden="1" spans="1:17">
      <c r="A564" s="47" t="s">
        <v>17</v>
      </c>
      <c r="B564" s="48" t="s">
        <v>68</v>
      </c>
      <c r="C564" s="47">
        <v>222508</v>
      </c>
      <c r="D564" s="47" t="s">
        <v>69</v>
      </c>
      <c r="E564" s="47" t="s">
        <v>70</v>
      </c>
      <c r="F564" s="49" t="s">
        <v>178</v>
      </c>
      <c r="G564" s="47" t="s">
        <v>1175</v>
      </c>
      <c r="H564" s="47" t="s">
        <v>163</v>
      </c>
      <c r="I564" s="47" t="s">
        <v>135</v>
      </c>
      <c r="J564" s="47" t="s">
        <v>25</v>
      </c>
      <c r="K564" s="51">
        <v>44000000.00175</v>
      </c>
      <c r="L564" s="47" t="s">
        <v>26</v>
      </c>
      <c r="M564" s="52">
        <f t="shared" si="12"/>
        <v>44000000.00175</v>
      </c>
      <c r="N564" s="53">
        <v>0.13636</v>
      </c>
      <c r="O564" s="47" t="s">
        <v>1174</v>
      </c>
      <c r="P564" s="47" t="s">
        <v>180</v>
      </c>
      <c r="Q564" s="47" t="s">
        <v>33</v>
      </c>
    </row>
    <row r="565" hidden="1" spans="1:17">
      <c r="A565" s="47" t="s">
        <v>17</v>
      </c>
      <c r="B565" s="48" t="s">
        <v>103</v>
      </c>
      <c r="C565" s="47">
        <v>223318</v>
      </c>
      <c r="D565" s="47" t="s">
        <v>116</v>
      </c>
      <c r="E565" s="47" t="s">
        <v>117</v>
      </c>
      <c r="F565" s="49" t="s">
        <v>546</v>
      </c>
      <c r="G565" s="47" t="s">
        <v>1176</v>
      </c>
      <c r="H565" s="47" t="s">
        <v>134</v>
      </c>
      <c r="I565" s="47" t="s">
        <v>135</v>
      </c>
      <c r="J565" s="47" t="s">
        <v>25</v>
      </c>
      <c r="K565" s="51">
        <v>150000000</v>
      </c>
      <c r="L565" s="47" t="s">
        <v>26</v>
      </c>
      <c r="M565" s="52">
        <f t="shared" si="12"/>
        <v>150000000</v>
      </c>
      <c r="N565" s="53">
        <v>0.18</v>
      </c>
      <c r="O565" s="47" t="s">
        <v>1177</v>
      </c>
      <c r="P565" s="47" t="s">
        <v>213</v>
      </c>
      <c r="Q565" s="47" t="s">
        <v>33</v>
      </c>
    </row>
    <row r="566" hidden="1" spans="1:17">
      <c r="A566" s="47" t="s">
        <v>17</v>
      </c>
      <c r="B566" s="48" t="s">
        <v>103</v>
      </c>
      <c r="C566" s="47">
        <v>223809</v>
      </c>
      <c r="D566" s="47" t="s">
        <v>104</v>
      </c>
      <c r="E566" s="47" t="s">
        <v>105</v>
      </c>
      <c r="F566" s="49" t="s">
        <v>1042</v>
      </c>
      <c r="G566" s="47" t="s">
        <v>1178</v>
      </c>
      <c r="H566" s="47" t="s">
        <v>134</v>
      </c>
      <c r="I566" s="47" t="s">
        <v>135</v>
      </c>
      <c r="J566" s="47" t="s">
        <v>25</v>
      </c>
      <c r="K566" s="51">
        <v>100000000</v>
      </c>
      <c r="L566" s="47" t="s">
        <v>26</v>
      </c>
      <c r="M566" s="52">
        <f t="shared" si="12"/>
        <v>100000000</v>
      </c>
      <c r="N566" s="53">
        <v>0.11</v>
      </c>
      <c r="O566" s="47" t="s">
        <v>1179</v>
      </c>
      <c r="P566" s="47" t="s">
        <v>87</v>
      </c>
      <c r="Q566" s="47" t="s">
        <v>100</v>
      </c>
    </row>
    <row r="567" hidden="1" spans="1:17">
      <c r="A567" s="47" t="s">
        <v>17</v>
      </c>
      <c r="B567" s="48" t="s">
        <v>103</v>
      </c>
      <c r="C567" s="47">
        <v>223808</v>
      </c>
      <c r="D567" s="47" t="s">
        <v>104</v>
      </c>
      <c r="E567" s="47" t="s">
        <v>105</v>
      </c>
      <c r="F567" s="49" t="s">
        <v>1042</v>
      </c>
      <c r="G567" s="47" t="s">
        <v>1180</v>
      </c>
      <c r="H567" s="47" t="s">
        <v>134</v>
      </c>
      <c r="I567" s="47" t="s">
        <v>135</v>
      </c>
      <c r="J567" s="47" t="s">
        <v>25</v>
      </c>
      <c r="K567" s="51">
        <v>120000000</v>
      </c>
      <c r="L567" s="47" t="s">
        <v>26</v>
      </c>
      <c r="M567" s="52">
        <f t="shared" si="12"/>
        <v>120000000</v>
      </c>
      <c r="N567" s="53">
        <v>0.125</v>
      </c>
      <c r="O567" s="47" t="s">
        <v>1181</v>
      </c>
      <c r="P567" s="47" t="s">
        <v>87</v>
      </c>
      <c r="Q567" s="47" t="s">
        <v>33</v>
      </c>
    </row>
  </sheetData>
  <autoFilter xmlns:etc="http://www.wps.cn/officeDocument/2017/etCustomData" ref="A1:Q567" etc:filterBottomFollowUsedRange="0">
    <filterColumn colId="5">
      <customFilters>
        <customFilter operator="equal" val="ABC Cement"/>
        <customFilter operator="equal" val="FMCG"/>
      </custom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6:W25"/>
  <sheetViews>
    <sheetView topLeftCell="D1" workbookViewId="0">
      <selection activeCell="F14" sqref="F14"/>
    </sheetView>
  </sheetViews>
  <sheetFormatPr defaultColWidth="8.89166666666667" defaultRowHeight="13.8"/>
  <sheetData>
    <row r="6" spans="12:12">
      <c r="L6" s="18" t="s">
        <v>1182</v>
      </c>
    </row>
    <row r="8" ht="21" spans="12:12">
      <c r="L8" s="40" t="s">
        <v>1183</v>
      </c>
    </row>
    <row r="10" spans="12:12">
      <c r="L10" t="s">
        <v>1184</v>
      </c>
    </row>
    <row r="12" spans="12:22">
      <c r="L12" t="s">
        <v>1185</v>
      </c>
      <c r="V12" t="s">
        <v>1186</v>
      </c>
    </row>
    <row r="13" spans="12:22">
      <c r="L13" t="s">
        <v>1187</v>
      </c>
      <c r="V13" s="41" t="s">
        <v>1188</v>
      </c>
    </row>
    <row r="14" ht="27.6" spans="5:23">
      <c r="E14" t="s">
        <v>1189</v>
      </c>
      <c r="F14" t="s">
        <v>1190</v>
      </c>
      <c r="L14" t="s">
        <v>1191</v>
      </c>
      <c r="V14" t="s">
        <v>1192</v>
      </c>
      <c r="W14" s="42" t="s">
        <v>1193</v>
      </c>
    </row>
    <row r="15" spans="5:12">
      <c r="E15" t="s">
        <v>1194</v>
      </c>
      <c r="L15" s="41" t="s">
        <v>1195</v>
      </c>
    </row>
    <row r="16" spans="12:12">
      <c r="L16" t="s">
        <v>1196</v>
      </c>
    </row>
    <row r="19" spans="12:12">
      <c r="L19" t="s">
        <v>1197</v>
      </c>
    </row>
    <row r="21" spans="12:12">
      <c r="L21" t="s">
        <v>1198</v>
      </c>
    </row>
    <row r="22" spans="12:12">
      <c r="L22" t="s">
        <v>1199</v>
      </c>
    </row>
    <row r="23" spans="12:12">
      <c r="L23" s="41" t="s">
        <v>1200</v>
      </c>
    </row>
    <row r="24" ht="41.4" spans="12:12">
      <c r="L24" s="42" t="s">
        <v>1201</v>
      </c>
    </row>
    <row r="25" spans="12:12">
      <c r="L25" t="s">
        <v>1202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6:J8"/>
  <sheetViews>
    <sheetView workbookViewId="0">
      <selection activeCell="G6" sqref="G6:J8"/>
    </sheetView>
  </sheetViews>
  <sheetFormatPr defaultColWidth="8.89166666666667" defaultRowHeight="13.8" outlineLevelRow="7"/>
  <cols>
    <col min="10" max="10" width="11.1083333333333"/>
  </cols>
  <sheetData>
    <row r="6" spans="7:10">
      <c r="G6" s="8" t="s">
        <v>1203</v>
      </c>
      <c r="H6" s="8" t="s">
        <v>1204</v>
      </c>
      <c r="I6" s="8" t="s">
        <v>1205</v>
      </c>
      <c r="J6" s="8" t="s">
        <v>1206</v>
      </c>
    </row>
    <row r="7" spans="7:10">
      <c r="G7" s="8">
        <v>1</v>
      </c>
      <c r="H7" s="8" t="s">
        <v>1207</v>
      </c>
      <c r="I7" s="8">
        <v>1</v>
      </c>
      <c r="J7" s="9">
        <v>46119</v>
      </c>
    </row>
    <row r="8" spans="7:10">
      <c r="G8" s="8">
        <v>2</v>
      </c>
      <c r="H8" s="8" t="s">
        <v>1208</v>
      </c>
      <c r="I8" s="8">
        <v>1</v>
      </c>
      <c r="J8" s="9">
        <v>46119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9:M20"/>
  <sheetViews>
    <sheetView workbookViewId="0">
      <selection activeCell="F21" sqref="F21"/>
    </sheetView>
  </sheetViews>
  <sheetFormatPr defaultColWidth="8.89166666666667" defaultRowHeight="13.8"/>
  <sheetData>
    <row r="9" spans="9:13">
      <c r="I9" s="19"/>
      <c r="J9" s="19"/>
      <c r="K9" s="19"/>
      <c r="L9" s="19"/>
      <c r="M9" s="19"/>
    </row>
    <row r="10" spans="9:13">
      <c r="I10" s="19"/>
      <c r="J10" s="19" t="s">
        <v>1209</v>
      </c>
      <c r="K10" s="19" t="s">
        <v>1210</v>
      </c>
      <c r="L10" s="19"/>
      <c r="M10" s="19"/>
    </row>
    <row r="11" spans="9:13">
      <c r="I11" s="19"/>
      <c r="J11" s="19">
        <v>1</v>
      </c>
      <c r="K11" s="19" t="s">
        <v>1211</v>
      </c>
      <c r="L11" s="19"/>
      <c r="M11" s="19"/>
    </row>
    <row r="12" spans="9:13">
      <c r="I12" s="19"/>
      <c r="J12" s="19">
        <v>2</v>
      </c>
      <c r="K12" s="19" t="s">
        <v>1212</v>
      </c>
      <c r="L12" s="19"/>
      <c r="M12" s="19"/>
    </row>
    <row r="13" spans="9:13">
      <c r="I13" s="19"/>
      <c r="J13" s="19">
        <v>3</v>
      </c>
      <c r="K13" s="19" t="s">
        <v>1213</v>
      </c>
      <c r="L13" s="19"/>
      <c r="M13" s="19"/>
    </row>
    <row r="14" spans="9:13">
      <c r="I14" s="19"/>
      <c r="J14" s="19">
        <v>4</v>
      </c>
      <c r="K14" s="19" t="s">
        <v>1214</v>
      </c>
      <c r="L14" s="19"/>
      <c r="M14" s="19"/>
    </row>
    <row r="15" spans="9:13">
      <c r="I15" s="19"/>
      <c r="J15" s="19">
        <v>5</v>
      </c>
      <c r="K15" s="19" t="s">
        <v>1215</v>
      </c>
      <c r="L15" s="19"/>
      <c r="M15" s="19"/>
    </row>
    <row r="16" spans="9:13">
      <c r="I16" s="19"/>
      <c r="J16" s="19">
        <v>6</v>
      </c>
      <c r="K16" s="19" t="s">
        <v>1216</v>
      </c>
      <c r="L16" s="19"/>
      <c r="M16" s="19"/>
    </row>
    <row r="17" spans="9:13">
      <c r="I17" s="19"/>
      <c r="J17" s="19">
        <v>7</v>
      </c>
      <c r="K17" s="19" t="s">
        <v>1217</v>
      </c>
      <c r="L17" s="19"/>
      <c r="M17" s="19"/>
    </row>
    <row r="18" spans="9:13">
      <c r="I18" s="19"/>
      <c r="J18" s="19">
        <v>8</v>
      </c>
      <c r="K18" s="19" t="s">
        <v>1218</v>
      </c>
      <c r="L18" s="19"/>
      <c r="M18" s="19"/>
    </row>
    <row r="19" spans="9:13">
      <c r="I19" s="19"/>
      <c r="J19" s="19">
        <v>9</v>
      </c>
      <c r="K19" s="19" t="s">
        <v>1219</v>
      </c>
      <c r="L19" s="19"/>
      <c r="M19" s="19"/>
    </row>
    <row r="20" spans="9:13">
      <c r="I20" s="19"/>
      <c r="J20" s="19"/>
      <c r="K20" s="19"/>
      <c r="L20" s="19"/>
      <c r="M20" s="19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10:V13"/>
  <sheetViews>
    <sheetView topLeftCell="E2" workbookViewId="0">
      <selection activeCell="H10" sqref="H10:U13"/>
    </sheetView>
  </sheetViews>
  <sheetFormatPr defaultColWidth="8.89166666666667" defaultRowHeight="13.8"/>
  <sheetData>
    <row r="10" spans="8:22"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spans="8:22">
      <c r="H11" s="14"/>
      <c r="I11" s="14" t="s">
        <v>1220</v>
      </c>
      <c r="J11" s="14"/>
      <c r="K11" s="14" t="s">
        <v>1221</v>
      </c>
      <c r="L11" s="14" t="s">
        <v>1222</v>
      </c>
      <c r="M11" s="14" t="s">
        <v>1223</v>
      </c>
      <c r="N11" s="14" t="s">
        <v>1224</v>
      </c>
      <c r="O11" s="14" t="s">
        <v>1225</v>
      </c>
      <c r="P11" s="14"/>
      <c r="Q11" s="14" t="s">
        <v>1226</v>
      </c>
      <c r="R11" s="14" t="s">
        <v>1206</v>
      </c>
      <c r="S11" s="14" t="s">
        <v>1227</v>
      </c>
      <c r="T11" s="14" t="s">
        <v>1228</v>
      </c>
      <c r="U11" s="14" t="s">
        <v>1229</v>
      </c>
      <c r="V11" s="14"/>
    </row>
    <row r="12" spans="8:22">
      <c r="H12" s="14"/>
      <c r="I12" s="14">
        <v>1</v>
      </c>
      <c r="J12" s="14"/>
      <c r="K12" s="14" t="s">
        <v>1230</v>
      </c>
      <c r="L12" s="39" t="s">
        <v>1231</v>
      </c>
      <c r="M12" s="14" t="s">
        <v>1232</v>
      </c>
      <c r="N12" s="14" t="s">
        <v>1233</v>
      </c>
      <c r="O12" s="14" t="s">
        <v>1234</v>
      </c>
      <c r="P12" s="14"/>
      <c r="Q12" s="14" t="b">
        <v>1</v>
      </c>
      <c r="R12" s="14"/>
      <c r="S12" s="14"/>
      <c r="T12" s="14"/>
      <c r="U12" s="14"/>
      <c r="V12" s="14"/>
    </row>
    <row r="13" spans="8:22">
      <c r="H13" s="14"/>
      <c r="I13" s="14">
        <v>2</v>
      </c>
      <c r="J13" s="14"/>
      <c r="K13" s="14" t="s">
        <v>1235</v>
      </c>
      <c r="L13" s="39" t="s">
        <v>1236</v>
      </c>
      <c r="M13" s="14" t="s">
        <v>1237</v>
      </c>
      <c r="N13" s="14" t="s">
        <v>1238</v>
      </c>
      <c r="O13" s="14" t="s">
        <v>1239</v>
      </c>
      <c r="P13" s="14"/>
      <c r="Q13" s="14" t="b">
        <v>0</v>
      </c>
      <c r="R13" s="14"/>
      <c r="S13" s="14"/>
      <c r="T13" s="14"/>
      <c r="U13" s="14"/>
      <c r="V13" s="14"/>
    </row>
  </sheetData>
  <hyperlinks>
    <hyperlink ref="L12" r:id="rId1" display="Surya@gmail.com"/>
    <hyperlink ref="L13" r:id="rId2" display="om@gmail.com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O45"/>
  <sheetViews>
    <sheetView zoomScale="79" zoomScaleNormal="79" topLeftCell="B14" workbookViewId="0">
      <selection activeCell="I44" sqref="I44"/>
    </sheetView>
  </sheetViews>
  <sheetFormatPr defaultColWidth="8.89166666666667" defaultRowHeight="13.8"/>
  <cols>
    <col min="4" max="4" width="18.1083333333333" customWidth="1"/>
    <col min="5" max="5" width="33.225" customWidth="1"/>
    <col min="6" max="7" width="20.8916666666667" customWidth="1"/>
    <col min="8" max="8" width="26.5583333333333" customWidth="1"/>
    <col min="9" max="9" width="16.4416666666667" customWidth="1"/>
    <col min="10" max="10" width="25.4416666666667" customWidth="1"/>
    <col min="11" max="11" width="18.6666666666667"/>
    <col min="12" max="12" width="15.225" customWidth="1"/>
  </cols>
  <sheetData>
    <row r="6" spans="4:4">
      <c r="D6" s="18" t="s">
        <v>1240</v>
      </c>
    </row>
    <row r="7" spans="4:6">
      <c r="D7" t="s">
        <v>1241</v>
      </c>
      <c r="E7" t="s">
        <v>1242</v>
      </c>
      <c r="F7" t="s">
        <v>1243</v>
      </c>
    </row>
    <row r="8" spans="4:6">
      <c r="D8">
        <v>1</v>
      </c>
      <c r="E8" t="s">
        <v>1244</v>
      </c>
      <c r="F8">
        <v>1</v>
      </c>
    </row>
    <row r="13" spans="8:8">
      <c r="H13" s="18" t="s">
        <v>1240</v>
      </c>
    </row>
    <row r="14" spans="8:10">
      <c r="H14" t="s">
        <v>1241</v>
      </c>
      <c r="I14" t="s">
        <v>1242</v>
      </c>
      <c r="J14" t="s">
        <v>1243</v>
      </c>
    </row>
    <row r="15" spans="8:10">
      <c r="H15">
        <v>1</v>
      </c>
      <c r="I15" t="s">
        <v>1244</v>
      </c>
      <c r="J15">
        <v>1</v>
      </c>
    </row>
    <row r="19" spans="2:15"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2:15">
      <c r="B20" s="19"/>
      <c r="C20" s="20"/>
      <c r="D20" s="20" t="s">
        <v>1245</v>
      </c>
      <c r="E20" s="20"/>
      <c r="F20" s="19"/>
      <c r="G20" s="19"/>
      <c r="H20" s="19"/>
      <c r="I20" s="19"/>
      <c r="J20" s="19"/>
      <c r="K20" s="19"/>
      <c r="L20" s="19"/>
      <c r="M20" s="19"/>
      <c r="N20" s="19"/>
      <c r="O20" s="19"/>
    </row>
    <row r="21" spans="2:15">
      <c r="B21" s="19"/>
      <c r="C21" s="19"/>
      <c r="D21" s="19" t="s">
        <v>1209</v>
      </c>
      <c r="E21" s="19" t="s">
        <v>1246</v>
      </c>
      <c r="F21" s="19" t="s">
        <v>1247</v>
      </c>
      <c r="G21" s="19" t="s">
        <v>1248</v>
      </c>
      <c r="H21" s="19" t="s">
        <v>1249</v>
      </c>
      <c r="I21" s="19" t="s">
        <v>1250</v>
      </c>
      <c r="J21" s="19" t="s">
        <v>1251</v>
      </c>
      <c r="K21" s="19" t="s">
        <v>1252</v>
      </c>
      <c r="L21" s="19" t="s">
        <v>1253</v>
      </c>
      <c r="M21" s="19" t="s">
        <v>1254</v>
      </c>
      <c r="N21" s="19"/>
      <c r="O21" s="19"/>
    </row>
    <row r="22" spans="2:15">
      <c r="B22" s="19"/>
      <c r="C22" s="19"/>
      <c r="D22" s="19">
        <v>1</v>
      </c>
      <c r="E22" s="19">
        <v>101</v>
      </c>
      <c r="F22" s="19">
        <v>1</v>
      </c>
      <c r="G22" s="19" t="s">
        <v>1255</v>
      </c>
      <c r="H22" s="19" t="s">
        <v>1256</v>
      </c>
      <c r="I22" s="19">
        <v>120000</v>
      </c>
      <c r="J22" s="31" t="s">
        <v>361</v>
      </c>
      <c r="K22" s="19" t="s">
        <v>1257</v>
      </c>
      <c r="L22" s="19" t="s">
        <v>1258</v>
      </c>
      <c r="M22" s="19">
        <v>1</v>
      </c>
      <c r="N22" s="19"/>
      <c r="O22" s="19"/>
    </row>
    <row r="23" spans="2:15">
      <c r="B23" s="19"/>
      <c r="C23" s="19"/>
      <c r="D23" s="19">
        <v>1</v>
      </c>
      <c r="E23" s="19">
        <v>102</v>
      </c>
      <c r="F23" s="19">
        <v>2</v>
      </c>
      <c r="G23" s="19" t="s">
        <v>1259</v>
      </c>
      <c r="H23" s="19" t="s">
        <v>1259</v>
      </c>
      <c r="I23" s="19">
        <v>150000</v>
      </c>
      <c r="J23" s="19" t="s">
        <v>361</v>
      </c>
      <c r="K23" s="19" t="s">
        <v>1260</v>
      </c>
      <c r="L23" s="19" t="s">
        <v>1261</v>
      </c>
      <c r="M23" s="19">
        <v>1</v>
      </c>
      <c r="N23" s="19"/>
      <c r="O23" s="19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  <row r="26" spans="3:13">
      <c r="C26" s="2"/>
      <c r="D26" s="2"/>
      <c r="E26" s="21" t="s">
        <v>1262</v>
      </c>
      <c r="F26" s="2"/>
      <c r="G26" s="2"/>
      <c r="H26" s="2"/>
      <c r="I26" s="2"/>
      <c r="J26" s="2"/>
      <c r="K26" s="2"/>
      <c r="L26" s="2"/>
      <c r="M26" s="2"/>
    </row>
    <row r="27" spans="3:13">
      <c r="C27" s="2"/>
      <c r="D27" s="2" t="s">
        <v>1241</v>
      </c>
      <c r="E27" s="2" t="s">
        <v>1263</v>
      </c>
      <c r="F27" s="2" t="s">
        <v>1264</v>
      </c>
      <c r="G27" s="2" t="s">
        <v>1265</v>
      </c>
      <c r="H27" s="2" t="s">
        <v>1266</v>
      </c>
      <c r="I27" s="2" t="s">
        <v>1267</v>
      </c>
      <c r="J27" s="2" t="s">
        <v>1268</v>
      </c>
      <c r="K27" s="2" t="s">
        <v>1269</v>
      </c>
      <c r="L27" s="2"/>
      <c r="M27" s="2"/>
    </row>
    <row r="28" spans="3:13">
      <c r="C28" s="2"/>
      <c r="D28" s="2">
        <v>1</v>
      </c>
      <c r="E28" s="2">
        <v>2</v>
      </c>
      <c r="F28" s="2">
        <v>100000</v>
      </c>
      <c r="G28" s="22">
        <v>50000</v>
      </c>
      <c r="H28" s="22">
        <v>70000</v>
      </c>
      <c r="I28" s="22">
        <v>150000</v>
      </c>
      <c r="J28" s="32">
        <v>0.425</v>
      </c>
      <c r="K28" s="2" t="s">
        <v>1270</v>
      </c>
      <c r="L28" s="2"/>
      <c r="M28" s="2"/>
    </row>
    <row r="31" spans="5:5">
      <c r="E31" s="18" t="s">
        <v>1271</v>
      </c>
    </row>
    <row r="32" spans="4:11">
      <c r="D32" t="s">
        <v>1241</v>
      </c>
      <c r="E32" t="s">
        <v>1263</v>
      </c>
      <c r="F32" t="s">
        <v>1272</v>
      </c>
      <c r="G32" t="s">
        <v>1273</v>
      </c>
      <c r="H32" t="s">
        <v>1253</v>
      </c>
      <c r="I32" t="s">
        <v>1274</v>
      </c>
      <c r="J32" t="s">
        <v>1275</v>
      </c>
      <c r="K32" t="s">
        <v>1276</v>
      </c>
    </row>
    <row r="33" spans="4:11">
      <c r="D33">
        <v>1</v>
      </c>
      <c r="E33">
        <v>2</v>
      </c>
      <c r="F33" t="s">
        <v>1277</v>
      </c>
      <c r="G33" t="b">
        <v>1</v>
      </c>
      <c r="H33" t="s">
        <v>1278</v>
      </c>
      <c r="I33">
        <v>3</v>
      </c>
      <c r="J33" t="s">
        <v>1279</v>
      </c>
      <c r="K33" s="4">
        <v>45396.5972222222</v>
      </c>
    </row>
    <row r="34" spans="4:11">
      <c r="D34">
        <v>2</v>
      </c>
      <c r="E34">
        <v>2</v>
      </c>
      <c r="F34" t="s">
        <v>1280</v>
      </c>
      <c r="G34" t="s">
        <v>1281</v>
      </c>
      <c r="H34" t="s">
        <v>1282</v>
      </c>
      <c r="I34">
        <v>4</v>
      </c>
      <c r="J34" t="s">
        <v>1283</v>
      </c>
      <c r="K34" s="33" t="s">
        <v>1284</v>
      </c>
    </row>
    <row r="35" spans="4:11">
      <c r="D35">
        <v>3</v>
      </c>
      <c r="E35">
        <v>2</v>
      </c>
      <c r="F35" t="s">
        <v>1285</v>
      </c>
      <c r="G35" t="s">
        <v>1281</v>
      </c>
      <c r="H35" t="s">
        <v>1286</v>
      </c>
      <c r="I35" t="s">
        <v>1287</v>
      </c>
      <c r="J35" t="s">
        <v>1288</v>
      </c>
      <c r="K35" t="s">
        <v>1287</v>
      </c>
    </row>
    <row r="38" spans="4:4">
      <c r="D38" s="18" t="s">
        <v>1289</v>
      </c>
    </row>
    <row r="39" spans="3:9">
      <c r="C39" t="s">
        <v>1209</v>
      </c>
      <c r="D39" t="s">
        <v>1290</v>
      </c>
      <c r="E39" t="s">
        <v>1291</v>
      </c>
      <c r="F39" t="s">
        <v>1292</v>
      </c>
      <c r="G39" t="s">
        <v>1293</v>
      </c>
      <c r="H39" t="s">
        <v>1294</v>
      </c>
      <c r="I39" t="s">
        <v>1295</v>
      </c>
    </row>
    <row r="40" spans="3:9">
      <c r="C40">
        <v>1</v>
      </c>
      <c r="D40">
        <v>2</v>
      </c>
      <c r="E40" s="23">
        <v>12450000</v>
      </c>
      <c r="F40" t="s">
        <v>1296</v>
      </c>
      <c r="G40" t="s">
        <v>1297</v>
      </c>
      <c r="H40" t="s">
        <v>1298</v>
      </c>
      <c r="I40">
        <v>5</v>
      </c>
    </row>
    <row r="43" spans="4:10">
      <c r="D43" s="24" t="s">
        <v>1241</v>
      </c>
      <c r="E43" s="25" t="s">
        <v>1263</v>
      </c>
      <c r="F43" s="25" t="s">
        <v>1299</v>
      </c>
      <c r="G43" s="25" t="s">
        <v>1300</v>
      </c>
      <c r="H43" s="25" t="s">
        <v>1301</v>
      </c>
      <c r="I43" s="25" t="s">
        <v>1302</v>
      </c>
      <c r="J43" s="34" t="s">
        <v>1303</v>
      </c>
    </row>
    <row r="44" ht="14.55" spans="4:10">
      <c r="D44" s="26">
        <v>5001</v>
      </c>
      <c r="E44" s="27">
        <v>2</v>
      </c>
      <c r="F44" s="27" t="s">
        <v>1250</v>
      </c>
      <c r="G44" s="28">
        <v>120000</v>
      </c>
      <c r="H44" s="28">
        <v>150000</v>
      </c>
      <c r="I44" s="35">
        <v>45396.4166666667</v>
      </c>
      <c r="J44" s="36">
        <v>1</v>
      </c>
    </row>
    <row r="45" spans="4:10">
      <c r="D45" s="29">
        <v>5002</v>
      </c>
      <c r="E45" s="30">
        <v>2</v>
      </c>
      <c r="F45" s="30" t="s">
        <v>1252</v>
      </c>
      <c r="G45" s="30" t="s">
        <v>1257</v>
      </c>
      <c r="H45" s="30" t="s">
        <v>1260</v>
      </c>
      <c r="I45" s="37">
        <v>45396.4166666667</v>
      </c>
      <c r="J45" s="38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Y38"/>
  <sheetViews>
    <sheetView zoomScale="119" zoomScaleNormal="119" topLeftCell="A4" workbookViewId="0">
      <selection activeCell="O32" sqref="O32"/>
    </sheetView>
  </sheetViews>
  <sheetFormatPr defaultColWidth="8.89166666666667" defaultRowHeight="13.8"/>
  <cols>
    <col min="2" max="2" width="10.3" customWidth="1"/>
    <col min="3" max="3" width="14.4" customWidth="1"/>
    <col min="5" max="5" width="11.1083333333333" customWidth="1"/>
    <col min="9" max="9" width="20.8916666666667" customWidth="1"/>
    <col min="13" max="13" width="24.225" customWidth="1"/>
    <col min="14" max="14" width="21.8" customWidth="1"/>
    <col min="15" max="15" width="29.8916666666667" customWidth="1"/>
    <col min="16" max="16" width="20.2" customWidth="1"/>
    <col min="17" max="17" width="13.6" customWidth="1"/>
    <col min="22" max="22" width="14.1083333333333" style="7" customWidth="1"/>
    <col min="23" max="23" width="17.5583333333333" customWidth="1"/>
    <col min="24" max="24" width="14.1083333333333" customWidth="1"/>
    <col min="25" max="25" width="24.225" customWidth="1"/>
  </cols>
  <sheetData>
    <row r="2" spans="11:11">
      <c r="K2" s="16"/>
    </row>
    <row r="3" spans="2:5">
      <c r="B3" s="8" t="s">
        <v>1203</v>
      </c>
      <c r="C3" s="8" t="s">
        <v>1204</v>
      </c>
      <c r="D3" s="8" t="s">
        <v>1205</v>
      </c>
      <c r="E3" s="8" t="s">
        <v>1206</v>
      </c>
    </row>
    <row r="4" spans="2:5">
      <c r="B4" s="8">
        <v>1</v>
      </c>
      <c r="C4" s="8" t="s">
        <v>1207</v>
      </c>
      <c r="D4" s="8">
        <v>1</v>
      </c>
      <c r="E4" s="9">
        <v>46119</v>
      </c>
    </row>
    <row r="5" spans="2:5">
      <c r="B5" s="8">
        <v>2</v>
      </c>
      <c r="C5" s="8" t="s">
        <v>1208</v>
      </c>
      <c r="D5" s="8">
        <v>1</v>
      </c>
      <c r="E5" s="9">
        <v>46119</v>
      </c>
    </row>
    <row r="7" spans="7:16">
      <c r="G7" s="2"/>
      <c r="H7" s="2"/>
      <c r="I7" s="2"/>
      <c r="J7" s="2"/>
      <c r="L7" s="1"/>
      <c r="M7" s="1" t="s">
        <v>1241</v>
      </c>
      <c r="N7" s="1" t="s">
        <v>1304</v>
      </c>
      <c r="O7" s="1" t="s">
        <v>1305</v>
      </c>
      <c r="P7" s="1"/>
    </row>
    <row r="8" spans="2:16">
      <c r="B8" t="s">
        <v>1306</v>
      </c>
      <c r="C8" t="s">
        <v>1305</v>
      </c>
      <c r="D8" t="s">
        <v>1307</v>
      </c>
      <c r="E8" t="s">
        <v>1308</v>
      </c>
      <c r="G8" s="2"/>
      <c r="H8" s="2" t="s">
        <v>1209</v>
      </c>
      <c r="I8" s="2" t="s">
        <v>1309</v>
      </c>
      <c r="J8" s="2"/>
      <c r="L8" s="1"/>
      <c r="M8" s="1">
        <v>1</v>
      </c>
      <c r="N8" s="1" t="s">
        <v>1310</v>
      </c>
      <c r="O8" s="1"/>
      <c r="P8" s="1"/>
    </row>
    <row r="9" spans="7:16">
      <c r="G9" s="2"/>
      <c r="H9" s="2">
        <v>1</v>
      </c>
      <c r="I9" s="2" t="s">
        <v>1211</v>
      </c>
      <c r="J9" s="2"/>
      <c r="L9" s="1"/>
      <c r="M9" s="1">
        <v>2</v>
      </c>
      <c r="N9" s="1" t="s">
        <v>1282</v>
      </c>
      <c r="O9" s="1"/>
      <c r="P9" s="1"/>
    </row>
    <row r="10" spans="7:16">
      <c r="G10" s="2"/>
      <c r="H10" s="2">
        <v>2</v>
      </c>
      <c r="I10" s="2" t="s">
        <v>1212</v>
      </c>
      <c r="J10" s="2"/>
      <c r="L10" s="1"/>
      <c r="M10" s="1">
        <v>3</v>
      </c>
      <c r="N10" s="1" t="s">
        <v>1311</v>
      </c>
      <c r="O10" s="1"/>
      <c r="P10" s="1"/>
    </row>
    <row r="11" ht="1" customHeight="1" spans="7:10">
      <c r="G11" s="2"/>
      <c r="H11" s="2">
        <v>3</v>
      </c>
      <c r="I11" s="2" t="s">
        <v>1213</v>
      </c>
      <c r="J11" s="2"/>
    </row>
    <row r="12" spans="2:10">
      <c r="B12" t="s">
        <v>1312</v>
      </c>
      <c r="C12" t="s">
        <v>1313</v>
      </c>
      <c r="G12" s="2"/>
      <c r="H12" s="2">
        <v>4</v>
      </c>
      <c r="I12" s="2" t="s">
        <v>1314</v>
      </c>
      <c r="J12" s="2"/>
    </row>
    <row r="13" spans="2:9">
      <c r="B13">
        <v>1</v>
      </c>
      <c r="H13">
        <v>5</v>
      </c>
      <c r="I13" t="s">
        <v>1315</v>
      </c>
    </row>
    <row r="14" spans="7:10">
      <c r="G14" s="10"/>
      <c r="H14" s="10">
        <v>6</v>
      </c>
      <c r="I14" s="10" t="s">
        <v>1316</v>
      </c>
      <c r="J14" s="10"/>
    </row>
    <row r="15" spans="7:15">
      <c r="G15" s="10"/>
      <c r="H15" s="10">
        <v>7</v>
      </c>
      <c r="I15" s="10" t="s">
        <v>1317</v>
      </c>
      <c r="J15" s="10"/>
      <c r="N15" s="1"/>
      <c r="O15" s="1"/>
    </row>
    <row r="16" spans="7:15">
      <c r="G16" s="10"/>
      <c r="H16" s="10">
        <v>8</v>
      </c>
      <c r="I16" s="10" t="s">
        <v>1318</v>
      </c>
      <c r="J16" s="10"/>
      <c r="N16" s="1" t="s">
        <v>1241</v>
      </c>
      <c r="O16" s="1" t="s">
        <v>1319</v>
      </c>
    </row>
    <row r="17" spans="2:15">
      <c r="B17" t="s">
        <v>1308</v>
      </c>
      <c r="C17" t="s">
        <v>1320</v>
      </c>
      <c r="D17" t="s">
        <v>1321</v>
      </c>
      <c r="E17"/>
      <c r="G17" s="10"/>
      <c r="H17" s="10">
        <v>9</v>
      </c>
      <c r="I17" s="10" t="s">
        <v>1322</v>
      </c>
      <c r="J17" s="10"/>
      <c r="N17" s="1">
        <v>1</v>
      </c>
      <c r="O17" s="1" t="s">
        <v>163</v>
      </c>
    </row>
    <row r="18" spans="2:15">
      <c r="B18">
        <v>1</v>
      </c>
      <c r="C18" t="s">
        <v>1323</v>
      </c>
      <c r="D18">
        <v>1</v>
      </c>
      <c r="G18" s="10"/>
      <c r="H18" s="10">
        <v>10</v>
      </c>
      <c r="I18" s="10" t="s">
        <v>1324</v>
      </c>
      <c r="J18" s="10"/>
      <c r="N18" s="1">
        <v>2</v>
      </c>
      <c r="O18" s="1" t="s">
        <v>149</v>
      </c>
    </row>
    <row r="19" spans="14:15">
      <c r="N19" s="1">
        <v>3</v>
      </c>
      <c r="O19" s="1" t="s">
        <v>85</v>
      </c>
    </row>
    <row r="20" spans="8:15">
      <c r="H20" s="11" t="s">
        <v>1209</v>
      </c>
      <c r="I20" s="11" t="s">
        <v>1325</v>
      </c>
      <c r="J20" s="11" t="s">
        <v>1326</v>
      </c>
      <c r="N20" s="1">
        <v>4</v>
      </c>
      <c r="O20" s="1" t="s">
        <v>23</v>
      </c>
    </row>
    <row r="21" spans="8:10">
      <c r="H21" s="11">
        <v>1</v>
      </c>
      <c r="I21" s="11" t="s">
        <v>1258</v>
      </c>
      <c r="J21" s="11">
        <v>2</v>
      </c>
    </row>
    <row r="22" spans="2:10">
      <c r="B22" t="s">
        <v>1321</v>
      </c>
      <c r="C22" t="s">
        <v>1327</v>
      </c>
      <c r="H22" s="11">
        <v>2</v>
      </c>
      <c r="I22" s="11" t="s">
        <v>1328</v>
      </c>
      <c r="J22" s="11">
        <v>2</v>
      </c>
    </row>
    <row r="23" spans="2:10">
      <c r="B23">
        <v>1</v>
      </c>
      <c r="C23" t="s">
        <v>1329</v>
      </c>
      <c r="H23" s="11">
        <v>3</v>
      </c>
      <c r="I23" s="11" t="s">
        <v>1330</v>
      </c>
      <c r="J23" s="11">
        <v>2</v>
      </c>
    </row>
    <row r="24" spans="8:10">
      <c r="H24" s="11">
        <v>4</v>
      </c>
      <c r="I24" s="11" t="s">
        <v>1261</v>
      </c>
      <c r="J24" s="11">
        <v>2</v>
      </c>
    </row>
    <row r="25" spans="2:15">
      <c r="B25" t="s">
        <v>1313</v>
      </c>
      <c r="C25" t="s">
        <v>1331</v>
      </c>
      <c r="H25" s="11">
        <v>5</v>
      </c>
      <c r="I25" s="11" t="s">
        <v>1332</v>
      </c>
      <c r="J25" s="11">
        <v>1</v>
      </c>
      <c r="L25" s="15" t="s">
        <v>1241</v>
      </c>
      <c r="M25" s="15" t="s">
        <v>1333</v>
      </c>
      <c r="N25" s="15" t="s">
        <v>1334</v>
      </c>
      <c r="O25" s="15"/>
    </row>
    <row r="26" spans="2:15">
      <c r="B26" s="12">
        <v>1</v>
      </c>
      <c r="C26" s="13" t="s">
        <v>17</v>
      </c>
      <c r="H26">
        <v>6</v>
      </c>
      <c r="I26" t="s">
        <v>1335</v>
      </c>
      <c r="J26">
        <v>1</v>
      </c>
      <c r="L26" s="15">
        <v>1</v>
      </c>
      <c r="M26" s="15" t="s">
        <v>1336</v>
      </c>
      <c r="N26" s="15"/>
      <c r="O26" s="15"/>
    </row>
    <row r="27" spans="2:15">
      <c r="B27" s="12">
        <v>2</v>
      </c>
      <c r="C27" s="12" t="s">
        <v>1337</v>
      </c>
      <c r="H27">
        <v>7</v>
      </c>
      <c r="I27" t="s">
        <v>1338</v>
      </c>
      <c r="J27">
        <v>2</v>
      </c>
      <c r="L27" s="15">
        <v>2</v>
      </c>
      <c r="M27" s="15" t="s">
        <v>1339</v>
      </c>
      <c r="N27" s="15"/>
      <c r="O27" s="15"/>
    </row>
    <row r="28" spans="2:15">
      <c r="B28" s="12">
        <v>3</v>
      </c>
      <c r="C28" s="12" t="s">
        <v>1340</v>
      </c>
      <c r="L28" s="15">
        <v>3</v>
      </c>
      <c r="M28" s="15" t="s">
        <v>1341</v>
      </c>
      <c r="N28" s="15"/>
      <c r="O28" s="15"/>
    </row>
    <row r="29" spans="2:3">
      <c r="B29" s="12">
        <v>4</v>
      </c>
      <c r="C29" s="12" t="s">
        <v>1342</v>
      </c>
    </row>
    <row r="30" spans="3:3">
      <c r="C30" s="14"/>
    </row>
    <row r="31" ht="17.4" spans="3:15">
      <c r="C31" s="14"/>
      <c r="I31" s="5" t="s">
        <v>1343</v>
      </c>
      <c r="O31" s="5" t="s">
        <v>1344</v>
      </c>
    </row>
    <row r="32" spans="3:23">
      <c r="C32" s="14"/>
      <c r="L32" s="1"/>
      <c r="M32" s="1"/>
      <c r="N32" s="1"/>
      <c r="O32" s="1"/>
      <c r="P32" s="1"/>
      <c r="Q32" s="1"/>
      <c r="R32" s="1"/>
      <c r="S32" s="1"/>
      <c r="T32" s="1"/>
      <c r="U32" s="1"/>
      <c r="V32" s="17"/>
      <c r="W32" s="1"/>
    </row>
    <row r="33" spans="8:25">
      <c r="H33" s="15" t="s">
        <v>1246</v>
      </c>
      <c r="I33" s="15" t="s">
        <v>1242</v>
      </c>
      <c r="J33" s="15" t="s">
        <v>1345</v>
      </c>
      <c r="K33" s="15"/>
      <c r="L33" s="1"/>
      <c r="M33" s="1" t="s">
        <v>1346</v>
      </c>
      <c r="N33" s="1" t="s">
        <v>1246</v>
      </c>
      <c r="O33" s="1" t="s">
        <v>1347</v>
      </c>
      <c r="P33" s="1" t="s">
        <v>1249</v>
      </c>
      <c r="Q33" s="1" t="s">
        <v>1248</v>
      </c>
      <c r="R33" s="1" t="s">
        <v>1250</v>
      </c>
      <c r="S33" s="1" t="s">
        <v>1251</v>
      </c>
      <c r="T33" s="1" t="s">
        <v>1348</v>
      </c>
      <c r="U33" s="1" t="s">
        <v>1349</v>
      </c>
      <c r="V33" s="17" t="s">
        <v>1350</v>
      </c>
      <c r="W33" s="1" t="s">
        <v>1254</v>
      </c>
      <c r="X33" t="s">
        <v>1351</v>
      </c>
      <c r="Y33" t="s">
        <v>1352</v>
      </c>
    </row>
    <row r="34" spans="8:23">
      <c r="H34" s="15">
        <v>1</v>
      </c>
      <c r="I34" s="15" t="s">
        <v>1353</v>
      </c>
      <c r="J34" s="15">
        <v>4</v>
      </c>
      <c r="K34" s="15"/>
      <c r="L34" s="1"/>
      <c r="M34" s="1">
        <v>1</v>
      </c>
      <c r="N34" s="1">
        <v>1</v>
      </c>
      <c r="O34" s="1">
        <v>1</v>
      </c>
      <c r="P34" s="1" t="s">
        <v>1354</v>
      </c>
      <c r="Q34" s="1" t="s">
        <v>1355</v>
      </c>
      <c r="R34" s="1">
        <v>120000</v>
      </c>
      <c r="S34" s="1" t="s">
        <v>361</v>
      </c>
      <c r="T34" s="1">
        <v>2</v>
      </c>
      <c r="U34" s="1">
        <v>101</v>
      </c>
      <c r="V34" s="17">
        <v>45392.375</v>
      </c>
      <c r="W34" s="1">
        <v>1</v>
      </c>
    </row>
    <row r="35" spans="8:23">
      <c r="H35" s="15">
        <v>2</v>
      </c>
      <c r="I35" s="15" t="s">
        <v>1356</v>
      </c>
      <c r="J35" s="15">
        <v>3</v>
      </c>
      <c r="K35" s="15"/>
      <c r="L35" s="1"/>
      <c r="M35" s="1">
        <v>2</v>
      </c>
      <c r="N35" s="1">
        <v>1</v>
      </c>
      <c r="O35" s="1">
        <v>2</v>
      </c>
      <c r="P35" s="1" t="s">
        <v>1354</v>
      </c>
      <c r="Q35" s="1" t="s">
        <v>1355</v>
      </c>
      <c r="R35" s="1">
        <v>150000</v>
      </c>
      <c r="S35" s="1" t="s">
        <v>361</v>
      </c>
      <c r="T35" s="1">
        <v>3</v>
      </c>
      <c r="U35" s="1">
        <v>101</v>
      </c>
      <c r="V35" s="17">
        <v>45394.4375</v>
      </c>
      <c r="W35" s="1">
        <v>1</v>
      </c>
    </row>
    <row r="37" spans="14:14">
      <c r="N37" t="s">
        <v>1357</v>
      </c>
    </row>
    <row r="38" spans="15:15">
      <c r="O38" s="16"/>
    </row>
  </sheetData>
  <conditionalFormatting sqref="C26">
    <cfRule type="duplicateValues" priority="1"/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7:T37"/>
  <sheetViews>
    <sheetView zoomScale="99" zoomScaleNormal="99" topLeftCell="E12" workbookViewId="0">
      <selection activeCell="M28" sqref="M28"/>
    </sheetView>
  </sheetViews>
  <sheetFormatPr defaultColWidth="8.89166666666667" defaultRowHeight="13.8"/>
  <cols>
    <col min="5" max="5" width="11.8916666666667" customWidth="1"/>
    <col min="6" max="7" width="15.225" customWidth="1"/>
    <col min="8" max="8" width="20.7" customWidth="1"/>
    <col min="9" max="9" width="14.1083333333333" customWidth="1"/>
    <col min="10" max="10" width="17.5583333333333" customWidth="1"/>
    <col min="11" max="11" width="14.1083333333333" customWidth="1"/>
    <col min="12" max="12" width="24.225" customWidth="1"/>
    <col min="13" max="13" width="15.225" customWidth="1"/>
    <col min="14" max="14" width="13" customWidth="1"/>
    <col min="15" max="15" width="11.8916666666667" customWidth="1"/>
    <col min="16" max="17" width="16.4416666666667" customWidth="1"/>
    <col min="18" max="18" width="14.1083333333333" customWidth="1"/>
    <col min="19" max="19" width="27.6666666666667" customWidth="1"/>
    <col min="20" max="20" width="25.4416666666667" customWidth="1"/>
  </cols>
  <sheetData>
    <row r="7" ht="17.4" spans="9:9">
      <c r="I7" s="5" t="s">
        <v>1358</v>
      </c>
    </row>
    <row r="10" spans="4:20">
      <c r="D10" t="s">
        <v>1359</v>
      </c>
      <c r="E10" t="s">
        <v>1263</v>
      </c>
      <c r="F10" t="s">
        <v>1264</v>
      </c>
      <c r="G10" t="s">
        <v>1360</v>
      </c>
      <c r="H10" t="s">
        <v>1361</v>
      </c>
      <c r="I10" t="s">
        <v>1362</v>
      </c>
      <c r="J10" t="s">
        <v>1267</v>
      </c>
      <c r="K10" t="s">
        <v>1266</v>
      </c>
      <c r="L10" t="s">
        <v>1363</v>
      </c>
      <c r="M10" t="s">
        <v>1364</v>
      </c>
      <c r="N10" t="s">
        <v>1365</v>
      </c>
      <c r="O10" t="s">
        <v>1366</v>
      </c>
      <c r="P10" t="s">
        <v>1367</v>
      </c>
      <c r="Q10" t="s">
        <v>1368</v>
      </c>
      <c r="R10" t="s">
        <v>1369</v>
      </c>
      <c r="S10" t="s">
        <v>1370</v>
      </c>
      <c r="T10" t="s">
        <v>1371</v>
      </c>
    </row>
    <row r="11" spans="4:20">
      <c r="D11">
        <v>1</v>
      </c>
      <c r="E11">
        <v>2</v>
      </c>
      <c r="F11">
        <v>100000</v>
      </c>
      <c r="G11">
        <v>50000</v>
      </c>
      <c r="H11">
        <v>0</v>
      </c>
      <c r="I11">
        <v>0</v>
      </c>
      <c r="J11">
        <v>150000</v>
      </c>
      <c r="K11">
        <v>70000</v>
      </c>
      <c r="L11">
        <v>10000</v>
      </c>
      <c r="M11">
        <v>15000</v>
      </c>
      <c r="O11">
        <v>95000</v>
      </c>
      <c r="P11">
        <v>30</v>
      </c>
      <c r="Q11">
        <v>50</v>
      </c>
      <c r="R11">
        <v>36.6</v>
      </c>
      <c r="S11">
        <v>1</v>
      </c>
      <c r="T11">
        <v>2</v>
      </c>
    </row>
    <row r="16" ht="17.4" spans="9:9">
      <c r="I16" s="5" t="s">
        <v>1372</v>
      </c>
    </row>
    <row r="17" spans="6:11">
      <c r="F17" t="s">
        <v>1241</v>
      </c>
      <c r="G17" t="s">
        <v>1246</v>
      </c>
      <c r="H17" t="s">
        <v>1272</v>
      </c>
      <c r="I17" t="s">
        <v>1273</v>
      </c>
      <c r="J17" t="s">
        <v>1373</v>
      </c>
      <c r="K17" t="s">
        <v>1374</v>
      </c>
    </row>
    <row r="18" spans="6:11">
      <c r="F18">
        <v>1</v>
      </c>
      <c r="G18">
        <v>1</v>
      </c>
      <c r="H18">
        <v>1</v>
      </c>
      <c r="I18" t="b">
        <v>1</v>
      </c>
      <c r="J18">
        <v>1</v>
      </c>
      <c r="K18">
        <v>45394.4791666667</v>
      </c>
    </row>
    <row r="19" spans="6:11">
      <c r="F19">
        <v>2</v>
      </c>
      <c r="G19">
        <v>1</v>
      </c>
      <c r="H19">
        <v>2</v>
      </c>
      <c r="I19" t="b">
        <v>1</v>
      </c>
      <c r="J19">
        <v>1</v>
      </c>
      <c r="K19">
        <v>45394.4791666667</v>
      </c>
    </row>
    <row r="20" spans="6:11">
      <c r="F20">
        <v>3</v>
      </c>
      <c r="G20">
        <v>1</v>
      </c>
      <c r="H20">
        <v>4</v>
      </c>
      <c r="I20" t="b">
        <v>0</v>
      </c>
      <c r="J20">
        <v>1</v>
      </c>
      <c r="K20">
        <v>45394.4791666667</v>
      </c>
    </row>
    <row r="22" ht="15.6" spans="12:12">
      <c r="L22" s="6"/>
    </row>
    <row r="25" ht="17.4" spans="8:8">
      <c r="H25" s="5" t="s">
        <v>1375</v>
      </c>
    </row>
    <row r="27" spans="8:14">
      <c r="H27" t="s">
        <v>1241</v>
      </c>
      <c r="I27" t="s">
        <v>1263</v>
      </c>
      <c r="J27" t="s">
        <v>1299</v>
      </c>
      <c r="K27" t="s">
        <v>1300</v>
      </c>
      <c r="L27" t="s">
        <v>1301</v>
      </c>
      <c r="M27" t="s">
        <v>1302</v>
      </c>
      <c r="N27" t="s">
        <v>1303</v>
      </c>
    </row>
    <row r="28" spans="8:14">
      <c r="H28">
        <v>1</v>
      </c>
      <c r="I28">
        <v>2</v>
      </c>
      <c r="J28" t="s">
        <v>1250</v>
      </c>
      <c r="K28">
        <v>120000</v>
      </c>
      <c r="L28">
        <v>150000</v>
      </c>
      <c r="M28">
        <v>45394.4375</v>
      </c>
      <c r="N28">
        <v>101</v>
      </c>
    </row>
    <row r="29" spans="8:14">
      <c r="H29">
        <v>2</v>
      </c>
      <c r="I29">
        <v>2</v>
      </c>
      <c r="J29" t="s">
        <v>1348</v>
      </c>
      <c r="K29">
        <v>2</v>
      </c>
      <c r="L29">
        <v>3</v>
      </c>
      <c r="M29">
        <v>45394.4375</v>
      </c>
      <c r="N29">
        <v>101</v>
      </c>
    </row>
    <row r="34" ht="17.4" spans="6:6">
      <c r="F34" s="5" t="s">
        <v>1376</v>
      </c>
    </row>
    <row r="36" spans="6:13">
      <c r="F36" t="s">
        <v>1241</v>
      </c>
      <c r="G36" t="s">
        <v>1246</v>
      </c>
      <c r="H36" t="s">
        <v>1291</v>
      </c>
      <c r="I36" t="s">
        <v>1377</v>
      </c>
      <c r="J36" t="s">
        <v>1378</v>
      </c>
      <c r="K36" t="s">
        <v>1379</v>
      </c>
      <c r="L36" t="s">
        <v>1380</v>
      </c>
      <c r="M36" t="s">
        <v>1295</v>
      </c>
    </row>
    <row r="37" spans="6:13">
      <c r="F37">
        <v>7001</v>
      </c>
      <c r="G37">
        <v>1</v>
      </c>
      <c r="H37">
        <v>12450000</v>
      </c>
      <c r="I37" t="s">
        <v>1381</v>
      </c>
      <c r="J37" t="s">
        <v>1382</v>
      </c>
      <c r="K37" t="b">
        <v>1</v>
      </c>
      <c r="L37">
        <v>45396.6979166667</v>
      </c>
      <c r="M37">
        <v>105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5:H8"/>
  <sheetViews>
    <sheetView workbookViewId="0">
      <selection activeCell="F9" sqref="F9"/>
    </sheetView>
  </sheetViews>
  <sheetFormatPr defaultColWidth="8.8" defaultRowHeight="13.8" outlineLevelRow="7" outlineLevelCol="7"/>
  <cols>
    <col min="4" max="4" width="10.9" customWidth="1"/>
    <col min="5" max="5" width="15.7" customWidth="1"/>
    <col min="6" max="6" width="19.3" customWidth="1"/>
    <col min="7" max="7" width="17.3" customWidth="1"/>
    <col min="8" max="8" width="71.7" customWidth="1"/>
  </cols>
  <sheetData>
    <row r="5" spans="4:8">
      <c r="D5" t="s">
        <v>1306</v>
      </c>
      <c r="E5" t="s">
        <v>1305</v>
      </c>
      <c r="F5" t="s">
        <v>1307</v>
      </c>
      <c r="G5" t="s">
        <v>1308</v>
      </c>
      <c r="H5" t="s">
        <v>1383</v>
      </c>
    </row>
    <row r="6" spans="4:8">
      <c r="D6" t="s">
        <v>1384</v>
      </c>
      <c r="E6" t="s">
        <v>1385</v>
      </c>
      <c r="F6" t="s">
        <v>1386</v>
      </c>
      <c r="G6" t="s">
        <v>1387</v>
      </c>
      <c r="H6" t="s">
        <v>1388</v>
      </c>
    </row>
    <row r="7" spans="4:8">
      <c r="D7" t="s">
        <v>1384</v>
      </c>
      <c r="E7" t="s">
        <v>1385</v>
      </c>
      <c r="F7" t="s">
        <v>1389</v>
      </c>
      <c r="G7" t="s">
        <v>1390</v>
      </c>
      <c r="H7" t="s">
        <v>1391</v>
      </c>
    </row>
    <row r="8" spans="4:8">
      <c r="D8" t="s">
        <v>1384</v>
      </c>
      <c r="E8" t="s">
        <v>1392</v>
      </c>
      <c r="F8" t="s">
        <v>1393</v>
      </c>
      <c r="G8" t="s">
        <v>1387</v>
      </c>
      <c r="H8" t="s">
        <v>1394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8:K34"/>
  <sheetViews>
    <sheetView topLeftCell="A9" workbookViewId="0">
      <selection activeCell="H29" sqref="H29"/>
    </sheetView>
  </sheetViews>
  <sheetFormatPr defaultColWidth="8.8" defaultRowHeight="13.8"/>
  <cols>
    <col min="5" max="5" width="17.3" customWidth="1"/>
    <col min="6" max="6" width="28" customWidth="1"/>
    <col min="8" max="8" width="23.6" customWidth="1"/>
    <col min="9" max="9" width="17.4" customWidth="1"/>
    <col min="11" max="11" width="16.4" customWidth="1"/>
  </cols>
  <sheetData>
    <row r="8" spans="8:8">
      <c r="H8" t="s">
        <v>1395</v>
      </c>
    </row>
    <row r="11" spans="5:8">
      <c r="E11" s="1"/>
      <c r="F11" s="1"/>
      <c r="G11" s="1" t="s">
        <v>1396</v>
      </c>
      <c r="H11" s="1"/>
    </row>
    <row r="12" spans="5:8">
      <c r="E12" s="1"/>
      <c r="F12" s="1"/>
      <c r="G12" s="1"/>
      <c r="H12" s="1"/>
    </row>
    <row r="13" spans="5:8">
      <c r="E13" s="1" t="s">
        <v>1397</v>
      </c>
      <c r="F13" s="1" t="s">
        <v>1398</v>
      </c>
      <c r="G13" s="1" t="s">
        <v>1399</v>
      </c>
      <c r="H13" s="1" t="s">
        <v>1273</v>
      </c>
    </row>
    <row r="14" spans="5:8">
      <c r="E14" s="1">
        <v>1</v>
      </c>
      <c r="F14" s="1">
        <v>1</v>
      </c>
      <c r="G14" s="1">
        <v>1</v>
      </c>
      <c r="H14" s="1" t="b">
        <v>1</v>
      </c>
    </row>
    <row r="15" spans="5:8">
      <c r="E15" s="1"/>
      <c r="F15" s="1"/>
      <c r="G15" s="1"/>
      <c r="H15" s="1"/>
    </row>
    <row r="17" spans="4:10">
      <c r="D17" s="2"/>
      <c r="E17" s="2"/>
      <c r="F17" s="2"/>
      <c r="G17" s="2"/>
      <c r="H17" s="2"/>
      <c r="I17" s="2"/>
      <c r="J17" s="2"/>
    </row>
    <row r="18" spans="4:10">
      <c r="D18" s="2"/>
      <c r="E18" s="2"/>
      <c r="F18" s="2"/>
      <c r="G18" s="2"/>
      <c r="H18" s="2" t="s">
        <v>1400</v>
      </c>
      <c r="I18" s="2"/>
      <c r="J18" s="2"/>
    </row>
    <row r="19" spans="4:11">
      <c r="D19" s="2"/>
      <c r="E19" s="2" t="s">
        <v>1241</v>
      </c>
      <c r="F19" s="2" t="s">
        <v>1246</v>
      </c>
      <c r="G19" s="2" t="s">
        <v>1401</v>
      </c>
      <c r="H19" s="2" t="s">
        <v>1402</v>
      </c>
      <c r="I19" s="2" t="s">
        <v>1403</v>
      </c>
      <c r="J19" s="2" t="s">
        <v>1275</v>
      </c>
      <c r="K19" t="s">
        <v>1404</v>
      </c>
    </row>
    <row r="20" spans="4:11">
      <c r="D20" s="2"/>
      <c r="E20" s="2"/>
      <c r="F20" s="2">
        <v>1</v>
      </c>
      <c r="G20" s="2">
        <v>1</v>
      </c>
      <c r="H20" s="2">
        <v>1</v>
      </c>
      <c r="I20" s="2">
        <v>1</v>
      </c>
      <c r="J20" s="2" t="s">
        <v>1283</v>
      </c>
      <c r="K20" s="4">
        <v>45396.4166666667</v>
      </c>
    </row>
    <row r="21" spans="4:10">
      <c r="D21" s="2"/>
      <c r="E21" s="2"/>
      <c r="F21" s="2"/>
      <c r="G21" s="2"/>
      <c r="H21" s="2"/>
      <c r="I21" s="2"/>
      <c r="J21" s="2"/>
    </row>
    <row r="22" spans="4:10">
      <c r="D22" s="2"/>
      <c r="E22" s="2"/>
      <c r="F22" s="2"/>
      <c r="G22" s="2"/>
      <c r="H22" s="2"/>
      <c r="I22" s="2"/>
      <c r="J22" s="2"/>
    </row>
    <row r="23" spans="5:7">
      <c r="E23" s="3"/>
      <c r="F23" s="3"/>
      <c r="G23" s="3"/>
    </row>
    <row r="24" spans="5:7">
      <c r="E24" s="3" t="s">
        <v>1241</v>
      </c>
      <c r="F24" s="3" t="s">
        <v>1405</v>
      </c>
      <c r="G24" s="3" t="s">
        <v>1226</v>
      </c>
    </row>
    <row r="25" spans="5:7">
      <c r="E25" s="3">
        <v>1</v>
      </c>
      <c r="F25" s="3" t="s">
        <v>1406</v>
      </c>
      <c r="G25" s="3" t="b">
        <v>1</v>
      </c>
    </row>
    <row r="26" spans="5:7">
      <c r="E26" s="3">
        <v>2</v>
      </c>
      <c r="F26" s="3" t="s">
        <v>1407</v>
      </c>
      <c r="G26" s="3" t="b">
        <v>1</v>
      </c>
    </row>
    <row r="27" spans="5:7">
      <c r="E27" s="3">
        <v>3</v>
      </c>
      <c r="F27" s="3" t="s">
        <v>1408</v>
      </c>
      <c r="G27" s="3" t="b">
        <v>1</v>
      </c>
    </row>
    <row r="31" spans="6:6">
      <c r="F31" t="s">
        <v>1409</v>
      </c>
    </row>
    <row r="32" spans="5:6">
      <c r="E32" t="s">
        <v>1410</v>
      </c>
      <c r="F32" t="s">
        <v>1411</v>
      </c>
    </row>
    <row r="33" spans="5:6">
      <c r="E33">
        <v>1</v>
      </c>
      <c r="F33">
        <v>1</v>
      </c>
    </row>
    <row r="34" spans="5:6">
      <c r="E34">
        <v>2</v>
      </c>
      <c r="F34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Black Box</Company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Sheet1</vt:lpstr>
      <vt:lpstr>Sheet2</vt:lpstr>
      <vt:lpstr>module</vt:lpstr>
      <vt:lpstr>role </vt:lpstr>
      <vt:lpstr>users</vt:lpstr>
      <vt:lpstr>Sheet6</vt:lpstr>
      <vt:lpstr>dwas</vt:lpstr>
      <vt:lpstr>Sheet8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Reeja Sujoy</dc:creator>
  <cp:lastModifiedBy>Veena</cp:lastModifiedBy>
  <dcterms:created xsi:type="dcterms:W3CDTF">2026-04-10T12:46:00Z</dcterms:created>
  <dcterms:modified xsi:type="dcterms:W3CDTF">2026-04-17T11:27:24Z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63051A2DE42C4B6DAA78C2D4B4E39E3D_13</vt:lpwstr>
  </property>
  <property fmtid="{D5CDD505-2E9C-101B-9397-08002B2CF9AE}" pid="3" name="KSOProductBuildVer">
    <vt:lpwstr>1033-12.2.0.23155</vt:lpwstr>
  </property>
</Properties>
</file>